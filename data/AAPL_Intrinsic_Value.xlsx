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\Python\Claude - Intrinsic Value\"/>
    </mc:Choice>
  </mc:AlternateContent>
  <xr:revisionPtr revIDLastSave="0" documentId="13_ncr:1_{AE332C78-B2F9-4C7B-BA33-14F1D8D915CD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VMI (20y)" sheetId="1" r:id="rId1"/>
    <sheet name="VMI (10y)" sheetId="2" r:id="rId2"/>
    <sheet name="Discounted Earnings Per Share" sheetId="3" state="veryHidden" r:id="rId3"/>
    <sheet name="Discounted Cash Flow" sheetId="4" state="veryHidden" r:id="rId4"/>
    <sheet name="Custom Parameters" sheetId="5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'VMI (10y)'!$B$2:$U$49</definedName>
    <definedName name="_xlnm.Print_Area" localSheetId="0">'VMI (20y)'!$B$2:$U$59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8" i="4"/>
  <c r="B13" i="4"/>
  <c r="C9" i="4"/>
  <c r="B14" i="4"/>
  <c r="B15" i="4"/>
  <c r="C13" i="4"/>
  <c r="C14" i="4"/>
  <c r="C15" i="4"/>
  <c r="D13" i="4"/>
  <c r="D14" i="4"/>
  <c r="D15" i="4"/>
  <c r="E13" i="4"/>
  <c r="E14" i="4"/>
  <c r="E15" i="4"/>
  <c r="F13" i="4"/>
  <c r="F14" i="4"/>
  <c r="F15" i="4"/>
  <c r="G13" i="4"/>
  <c r="G14" i="4"/>
  <c r="G15" i="4"/>
  <c r="H13" i="4"/>
  <c r="H14" i="4"/>
  <c r="H15" i="4"/>
  <c r="I13" i="4"/>
  <c r="I14" i="4"/>
  <c r="I15" i="4"/>
  <c r="J13" i="4"/>
  <c r="J14" i="4"/>
  <c r="J15" i="4"/>
  <c r="K13" i="4"/>
  <c r="K14" i="4"/>
  <c r="K15" i="4"/>
  <c r="C19" i="4"/>
  <c r="C17" i="4"/>
  <c r="C20" i="4"/>
  <c r="B12" i="4"/>
  <c r="C12" i="4"/>
  <c r="D12" i="4"/>
  <c r="E12" i="4"/>
  <c r="F12" i="4"/>
  <c r="G12" i="4"/>
  <c r="H12" i="4"/>
  <c r="I12" i="4"/>
  <c r="J12" i="4"/>
  <c r="K12" i="4"/>
  <c r="B7" i="3"/>
  <c r="B8" i="3"/>
  <c r="B11" i="3"/>
  <c r="B9" i="3"/>
  <c r="B12" i="3"/>
  <c r="B13" i="3"/>
  <c r="B15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K13" i="3"/>
  <c r="J13" i="3"/>
  <c r="I13" i="3"/>
  <c r="H13" i="3"/>
  <c r="G13" i="3"/>
  <c r="F13" i="3"/>
  <c r="E13" i="3"/>
  <c r="D13" i="3"/>
  <c r="C13" i="3"/>
  <c r="B10" i="3"/>
  <c r="C10" i="3"/>
  <c r="D10" i="3"/>
  <c r="E10" i="3"/>
  <c r="F10" i="3"/>
  <c r="G10" i="3"/>
  <c r="H10" i="3"/>
  <c r="I10" i="3"/>
  <c r="J10" i="3"/>
  <c r="K10" i="3"/>
  <c r="L61" i="2"/>
  <c r="E61" i="2"/>
  <c r="L60" i="2"/>
  <c r="E60" i="2"/>
  <c r="L59" i="2"/>
  <c r="E59" i="2"/>
  <c r="L58" i="2"/>
  <c r="E58" i="2"/>
  <c r="L57" i="2"/>
  <c r="E57" i="2"/>
  <c r="L56" i="2"/>
  <c r="E56" i="2"/>
  <c r="L55" i="2"/>
  <c r="E55" i="2"/>
  <c r="L54" i="2"/>
  <c r="E54" i="2"/>
  <c r="F29" i="2"/>
  <c r="G29" i="2"/>
  <c r="H29" i="2"/>
  <c r="I29" i="2"/>
  <c r="J29" i="2"/>
  <c r="K29" i="2"/>
  <c r="L29" i="2"/>
  <c r="M29" i="2"/>
  <c r="N29" i="2"/>
  <c r="O29" i="2"/>
  <c r="F30" i="2"/>
  <c r="G30" i="2"/>
  <c r="H30" i="2"/>
  <c r="I30" i="2"/>
  <c r="J30" i="2"/>
  <c r="K30" i="2"/>
  <c r="L30" i="2"/>
  <c r="M30" i="2"/>
  <c r="N30" i="2"/>
  <c r="O30" i="2"/>
  <c r="O31" i="2"/>
  <c r="N31" i="2"/>
  <c r="M31" i="2"/>
  <c r="L31" i="2"/>
  <c r="K31" i="2"/>
  <c r="J31" i="2"/>
  <c r="I31" i="2"/>
  <c r="H31" i="2"/>
  <c r="G31" i="2"/>
  <c r="F31" i="2"/>
  <c r="C29" i="2"/>
  <c r="O28" i="2"/>
  <c r="N28" i="2"/>
  <c r="M28" i="2"/>
  <c r="L28" i="2"/>
  <c r="K28" i="2"/>
  <c r="J28" i="2"/>
  <c r="I28" i="2"/>
  <c r="H28" i="2"/>
  <c r="G28" i="2"/>
  <c r="F28" i="2"/>
  <c r="L22" i="2"/>
  <c r="N8" i="2"/>
  <c r="N10" i="2"/>
  <c r="N12" i="2"/>
  <c r="N14" i="2"/>
  <c r="N16" i="2"/>
  <c r="N18" i="2"/>
  <c r="M20" i="2"/>
  <c r="C20" i="2"/>
  <c r="M18" i="2"/>
  <c r="C18" i="2"/>
  <c r="S16" i="2"/>
  <c r="Q16" i="2"/>
  <c r="M16" i="2"/>
  <c r="F16" i="2"/>
  <c r="M14" i="2"/>
  <c r="F14" i="2"/>
  <c r="M12" i="2"/>
  <c r="F12" i="2"/>
  <c r="M10" i="2"/>
  <c r="M8" i="2"/>
  <c r="J8" i="2"/>
  <c r="B2" i="2"/>
  <c r="L66" i="1"/>
  <c r="E66" i="1"/>
  <c r="L65" i="1"/>
  <c r="E65" i="1"/>
  <c r="L64" i="1"/>
  <c r="E64" i="1"/>
  <c r="L63" i="1"/>
  <c r="E63" i="1"/>
  <c r="L62" i="1"/>
  <c r="E62" i="1"/>
  <c r="L61" i="1"/>
  <c r="E61" i="1"/>
  <c r="L60" i="1"/>
  <c r="E60" i="1"/>
  <c r="L59" i="1"/>
  <c r="E59" i="1"/>
  <c r="F29" i="1"/>
  <c r="G29" i="1"/>
  <c r="H29" i="1"/>
  <c r="I29" i="1"/>
  <c r="J29" i="1"/>
  <c r="K29" i="1"/>
  <c r="L29" i="1"/>
  <c r="M29" i="1"/>
  <c r="N29" i="1"/>
  <c r="O29" i="1"/>
  <c r="F34" i="1"/>
  <c r="G34" i="1"/>
  <c r="H34" i="1"/>
  <c r="I34" i="1"/>
  <c r="J34" i="1"/>
  <c r="K34" i="1"/>
  <c r="L34" i="1"/>
  <c r="M34" i="1"/>
  <c r="N34" i="1"/>
  <c r="O34" i="1"/>
  <c r="F30" i="1"/>
  <c r="G30" i="1"/>
  <c r="H30" i="1"/>
  <c r="I30" i="1"/>
  <c r="J30" i="1"/>
  <c r="K30" i="1"/>
  <c r="L30" i="1"/>
  <c r="M30" i="1"/>
  <c r="N30" i="1"/>
  <c r="O30" i="1"/>
  <c r="F35" i="1"/>
  <c r="G35" i="1"/>
  <c r="H35" i="1"/>
  <c r="I35" i="1"/>
  <c r="J35" i="1"/>
  <c r="K35" i="1"/>
  <c r="L35" i="1"/>
  <c r="M35" i="1"/>
  <c r="N35" i="1"/>
  <c r="O35" i="1"/>
  <c r="O36" i="1"/>
  <c r="N36" i="1"/>
  <c r="M36" i="1"/>
  <c r="L36" i="1"/>
  <c r="K36" i="1"/>
  <c r="J36" i="1"/>
  <c r="I36" i="1"/>
  <c r="H36" i="1"/>
  <c r="G36" i="1"/>
  <c r="F36" i="1"/>
  <c r="C34" i="1"/>
  <c r="O33" i="1"/>
  <c r="N33" i="1"/>
  <c r="M33" i="1"/>
  <c r="L33" i="1"/>
  <c r="K33" i="1"/>
  <c r="J33" i="1"/>
  <c r="I33" i="1"/>
  <c r="H33" i="1"/>
  <c r="G33" i="1"/>
  <c r="F33" i="1"/>
  <c r="O31" i="1"/>
  <c r="N31" i="1"/>
  <c r="M31" i="1"/>
  <c r="L31" i="1"/>
  <c r="K31" i="1"/>
  <c r="J31" i="1"/>
  <c r="I31" i="1"/>
  <c r="H31" i="1"/>
  <c r="G31" i="1"/>
  <c r="F31" i="1"/>
  <c r="C29" i="1"/>
  <c r="O28" i="1"/>
  <c r="N28" i="1"/>
  <c r="M28" i="1"/>
  <c r="L28" i="1"/>
  <c r="K28" i="1"/>
  <c r="J28" i="1"/>
  <c r="I28" i="1"/>
  <c r="H28" i="1"/>
  <c r="G28" i="1"/>
  <c r="F28" i="1"/>
  <c r="L22" i="1"/>
  <c r="C22" i="1"/>
  <c r="N8" i="1"/>
  <c r="N10" i="1"/>
  <c r="N12" i="1"/>
  <c r="N14" i="1"/>
  <c r="N16" i="1"/>
  <c r="N18" i="1"/>
  <c r="M20" i="1"/>
  <c r="C20" i="1"/>
  <c r="M18" i="1"/>
  <c r="C18" i="1"/>
  <c r="S16" i="1"/>
  <c r="Q16" i="1"/>
  <c r="M16" i="1"/>
  <c r="F16" i="1"/>
  <c r="M14" i="1"/>
  <c r="F14" i="1"/>
  <c r="M12" i="1"/>
  <c r="F12" i="1"/>
  <c r="M10" i="1"/>
  <c r="M8" i="1"/>
  <c r="J8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Khoo</author>
    <author>iv_calculator</author>
  </authors>
  <commentList>
    <comment ref="C12" authorId="0" shapeId="0" xr:uid="{00000000-0006-0000-0000-000001000000}">
      <text>
        <r>
          <rPr>
            <sz val="10"/>
            <rFont val="Verdana"/>
          </rPr>
          <t>If Cash Flow &gt; 1.5x Net Income, use Free Cash Flow.
--
(Operating Cash Flow)
Statement of Cash Flows
Last 4 Quarters
or
(Net Income)
Income sheet
Latest Annual
or
(Free Cash Flow)
Statement of Cash Flows
Last 4 Quarters</t>
        </r>
      </text>
    </comment>
    <comment ref="G12" authorId="1" shapeId="0" xr:uid="{00000000-0006-0000-0000-000002000000}">
      <text>
        <r>
          <rPr>
            <sz val="10"/>
            <rFont val="Verdana"/>
          </rPr>
          <t>Auto-populated via yfinance. Rule: OCF TTM (140222000000.0) did NOT exceed 1.5x Net Income (112010000000.0) -&gt; used Net Income (latest FY)</t>
        </r>
      </text>
    </comment>
    <comment ref="C14" authorId="0" shapeId="0" xr:uid="{00000000-0006-0000-0000-000003000000}">
      <text>
        <r>
          <rPr>
            <sz val="10"/>
            <rFont val="Verdana"/>
          </rPr>
          <t>Balance Sheet
Last Quarter</t>
        </r>
      </text>
    </comment>
    <comment ref="G14" authorId="1" shapeId="0" xr:uid="{00000000-0006-0000-0000-000004000000}">
      <text>
        <r>
          <rPr>
            <sz val="10"/>
            <rFont val="Verdana"/>
          </rPr>
          <t>Source: Yahoo Finance, latest quarterly balance sheet, Total Debt (ST + LT).</t>
        </r>
      </text>
    </comment>
    <comment ref="C16" authorId="0" shapeId="0" xr:uid="{00000000-0006-0000-0000-000005000000}">
      <text>
        <r>
          <rPr>
            <sz val="10"/>
            <rFont val="Verdana"/>
          </rPr>
          <t>Balance Sheet
Last Quarter</t>
        </r>
      </text>
    </comment>
    <comment ref="G16" authorId="1" shapeId="0" xr:uid="{00000000-0006-0000-0000-000006000000}">
      <text>
        <r>
          <rPr>
            <sz val="10"/>
            <rFont val="Verdana"/>
          </rPr>
          <t>Source: Yahoo Finance, latest quarterly balance sheet, Cash &amp; Short-Term Investments.</t>
        </r>
      </text>
    </comment>
    <comment ref="C18" authorId="0" shapeId="0" xr:uid="{00000000-0006-0000-0000-000007000000}">
      <text>
        <r>
          <rPr>
            <sz val="10"/>
            <rFont val="Verdana"/>
          </rPr>
          <t>LT Growth Rate
or
EPS 5-Year Growth Rate</t>
        </r>
      </text>
    </comment>
    <comment ref="F18" authorId="1" shapeId="0" xr:uid="{00000000-0006-0000-0000-000008000000}">
      <text>
        <r>
          <rPr>
            <sz val="10"/>
            <rFont val="Verdana"/>
          </rPr>
          <t>Source: Historical EPS CAGR over 3 yrs</t>
        </r>
      </text>
    </comment>
    <comment ref="C20" authorId="0" shapeId="0" xr:uid="{00000000-0006-0000-0000-000009000000}">
      <text>
        <r>
          <rPr>
            <sz val="10"/>
            <rFont val="Verdana"/>
          </rPr>
          <t>Maximum 15% Or
1/2 of Yr5</t>
        </r>
      </text>
    </comment>
    <comment ref="F20" authorId="1" shapeId="0" xr:uid="{00000000-0006-0000-0000-00000A000000}">
      <text>
        <r>
          <rPr>
            <sz val="10"/>
            <rFont val="Verdana"/>
          </rPr>
          <t>Rule: min(15%, half of Yr 1-5 growth rate).</t>
        </r>
      </text>
    </comment>
    <comment ref="C22" authorId="0" shapeId="0" xr:uid="{00000000-0006-0000-0000-00000B000000}">
      <text>
        <r>
          <rPr>
            <sz val="10"/>
            <rFont val="Verdana"/>
          </rPr>
          <t>Long Term GDP Growth Rate + 1%
US Stocks: 4.18%
China Stocks: 7%</t>
        </r>
      </text>
    </comment>
    <comment ref="F22" authorId="1" shapeId="0" xr:uid="{00000000-0006-0000-0000-00000C000000}">
      <text>
        <r>
          <rPr>
            <sz val="10"/>
            <rFont val="Verdana"/>
          </rPr>
          <t>Long-term GDP growth + 1% (United States).</t>
        </r>
      </text>
    </comment>
    <comment ref="M22" authorId="1" shapeId="0" xr:uid="{00000000-0006-0000-0000-00000D000000}">
      <text>
        <r>
          <rPr>
            <sz val="10"/>
            <rFont val="Verdana"/>
          </rPr>
          <t>Source: Yahoo Finance (fast_info last_price)</t>
        </r>
      </text>
    </comment>
    <comment ref="C26" authorId="0" shapeId="0" xr:uid="{00000000-0006-0000-0000-00000E000000}">
      <text>
        <r>
          <rPr>
            <sz val="10"/>
            <rFont val="Verdana"/>
          </rPr>
          <t>finance.yahoo.com/quote/&lt;Stock&gt; -&gt; Statistics</t>
        </r>
      </text>
    </comment>
    <comment ref="F26" authorId="1" shapeId="0" xr:uid="{00000000-0006-0000-0000-00000F000000}">
      <text>
        <r>
          <rPr>
            <sz val="10"/>
            <rFont val="Verdana"/>
          </rPr>
          <t>Source: Yahoo Finance, sharesOutstanding (converted to millions).</t>
        </r>
      </text>
    </comment>
    <comment ref="L26" authorId="1" shapeId="0" xr:uid="{00000000-0006-0000-0000-000010000000}">
      <text>
        <r>
          <rPr>
            <sz val="10"/>
            <rFont val="Verdana"/>
          </rPr>
          <t>Source: Risk Free + Beta x Market Premium (US), beta=1.097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Khoo</author>
    <author>iv_calculator</author>
  </authors>
  <commentList>
    <comment ref="C12" authorId="0" shapeId="0" xr:uid="{00000000-0006-0000-0100-000001000000}">
      <text>
        <r>
          <rPr>
            <sz val="10"/>
            <rFont val="Verdana"/>
          </rPr>
          <t>If Cash Flow &gt; 1.5x Net Income, use Free Cash Flow.
--
(Operating Cash Flow)
Statement of Cash Flows
Last 4 Quarters
or
(Net Income)
Income sheet
Latest Annual
or
(Free Cash Flow)
Statement of Cash Flows
Last 4 Quarters</t>
        </r>
      </text>
    </comment>
    <comment ref="G12" authorId="1" shapeId="0" xr:uid="{00000000-0006-0000-0100-000002000000}">
      <text>
        <r>
          <rPr>
            <sz val="10"/>
            <rFont val="Verdana"/>
          </rPr>
          <t>Auto-populated via yfinance. Rule: OCF TTM (140222000000.0) did NOT exceed 1.5x Net Income (112010000000.0) -&gt; used Net Income (latest FY)</t>
        </r>
      </text>
    </comment>
    <comment ref="C14" authorId="0" shapeId="0" xr:uid="{00000000-0006-0000-0100-000003000000}">
      <text>
        <r>
          <rPr>
            <sz val="10"/>
            <rFont val="Verdana"/>
          </rPr>
          <t>Balance Sheet
Last Quarter</t>
        </r>
      </text>
    </comment>
    <comment ref="G14" authorId="1" shapeId="0" xr:uid="{00000000-0006-0000-0100-000004000000}">
      <text>
        <r>
          <rPr>
            <sz val="10"/>
            <rFont val="Verdana"/>
          </rPr>
          <t>Source: Yahoo Finance, latest quarterly balance sheet, Total Debt (ST + LT).</t>
        </r>
      </text>
    </comment>
    <comment ref="C16" authorId="0" shapeId="0" xr:uid="{00000000-0006-0000-0100-000005000000}">
      <text>
        <r>
          <rPr>
            <sz val="10"/>
            <rFont val="Verdana"/>
          </rPr>
          <t>Balance Sheet
Last Quarter</t>
        </r>
      </text>
    </comment>
    <comment ref="G16" authorId="1" shapeId="0" xr:uid="{00000000-0006-0000-0100-000006000000}">
      <text>
        <r>
          <rPr>
            <sz val="10"/>
            <rFont val="Verdana"/>
          </rPr>
          <t>Source: Yahoo Finance, latest quarterly balance sheet, Cash &amp; Short-Term Investments.</t>
        </r>
      </text>
    </comment>
    <comment ref="C18" authorId="0" shapeId="0" xr:uid="{00000000-0006-0000-0100-000007000000}">
      <text>
        <r>
          <rPr>
            <sz val="10"/>
            <rFont val="Verdana"/>
          </rPr>
          <t>LT Growth Rate
or
EPS 5-Year Growth Rate</t>
        </r>
      </text>
    </comment>
    <comment ref="F18" authorId="1" shapeId="0" xr:uid="{00000000-0006-0000-0100-000008000000}">
      <text>
        <r>
          <rPr>
            <sz val="10"/>
            <rFont val="Verdana"/>
          </rPr>
          <t>Source: Historical EPS CAGR over 3 yrs</t>
        </r>
      </text>
    </comment>
    <comment ref="C20" authorId="0" shapeId="0" xr:uid="{00000000-0006-0000-0100-000009000000}">
      <text>
        <r>
          <rPr>
            <sz val="10"/>
            <rFont val="Verdana"/>
          </rPr>
          <t>Maximum 15%</t>
        </r>
      </text>
    </comment>
    <comment ref="F20" authorId="1" shapeId="0" xr:uid="{00000000-0006-0000-0100-00000A000000}">
      <text>
        <r>
          <rPr>
            <sz val="10"/>
            <rFont val="Verdana"/>
          </rPr>
          <t>Rule: min(15%, half of Yr 1-5 growth rate).</t>
        </r>
      </text>
    </comment>
    <comment ref="M22" authorId="1" shapeId="0" xr:uid="{00000000-0006-0000-0100-00000B000000}">
      <text>
        <r>
          <rPr>
            <sz val="10"/>
            <rFont val="Verdana"/>
          </rPr>
          <t>Source: Yahoo Finance (fast_info last_price)</t>
        </r>
      </text>
    </comment>
    <comment ref="C26" authorId="0" shapeId="0" xr:uid="{00000000-0006-0000-0100-00000C000000}">
      <text>
        <r>
          <rPr>
            <sz val="10"/>
            <rFont val="Verdana"/>
          </rPr>
          <t>finance.yahoo.com/quote/&lt;Stock&gt; -&gt; Statistics</t>
        </r>
      </text>
    </comment>
    <comment ref="F26" authorId="1" shapeId="0" xr:uid="{00000000-0006-0000-0100-00000D000000}">
      <text>
        <r>
          <rPr>
            <sz val="10"/>
            <rFont val="Verdana"/>
          </rPr>
          <t>Source: Yahoo Finance, sharesOutstanding (converted to millions).</t>
        </r>
      </text>
    </comment>
    <comment ref="L26" authorId="1" shapeId="0" xr:uid="{00000000-0006-0000-0100-00000E000000}">
      <text>
        <r>
          <rPr>
            <sz val="10"/>
            <rFont val="Verdana"/>
          </rPr>
          <t>Source: Risk Free + Beta x Market Premium (US), beta=1.097</t>
        </r>
      </text>
    </comment>
  </commentList>
</comments>
</file>

<file path=xl/sharedStrings.xml><?xml version="1.0" encoding="utf-8"?>
<sst xmlns="http://schemas.openxmlformats.org/spreadsheetml/2006/main" count="249" uniqueCount="130">
  <si>
    <t>(Be consistent with the denominations used. Usually Millions $)</t>
  </si>
  <si>
    <t>KEY IN THE VALUES IN THE WHITE BOXES</t>
  </si>
  <si>
    <t>Operating Cash Flow (Current)</t>
  </si>
  <si>
    <t>Cash Flow</t>
  </si>
  <si>
    <t>Cash Flow Growth Rate (Yr 1 - 5)</t>
  </si>
  <si>
    <t>Cash Flow Growth Rate (Yr 6 - 10)</t>
  </si>
  <si>
    <t>Operating Cash Flow (Projected)</t>
  </si>
  <si>
    <t>Discounted Cash Flow Method</t>
  </si>
  <si>
    <t>Cash Flow Growth Rate (Yr 11 - 20)</t>
  </si>
  <si>
    <t>Net Income (Current)</t>
  </si>
  <si>
    <t>Net Income</t>
  </si>
  <si>
    <t>Net Income Growth Rate (Yr 1 - 5)</t>
  </si>
  <si>
    <t>Net Income Growth Rate (Yr 6 - 10)</t>
  </si>
  <si>
    <t>Net Income (Projected)</t>
  </si>
  <si>
    <t>Discounted Net Income Method</t>
  </si>
  <si>
    <t>Net Income Growth Rate (Yr 11 - 20)</t>
  </si>
  <si>
    <t>Name of Stock</t>
  </si>
  <si>
    <t>Apple Inc.</t>
  </si>
  <si>
    <t>Statement Currency</t>
  </si>
  <si>
    <t>USD$</t>
  </si>
  <si>
    <t>Free Cash Flow (Current)</t>
  </si>
  <si>
    <t>Free Cash Flow</t>
  </si>
  <si>
    <t>Free Cash Flow Growth Rate (Yr 1 - 5)</t>
  </si>
  <si>
    <t>Free Cash Flow growth rate (Yr 6 - 10)</t>
  </si>
  <si>
    <t>Free Cash Flow (Projected)</t>
  </si>
  <si>
    <t>Discounted Free Cash Flow Method</t>
  </si>
  <si>
    <t>Free Cash Flow Growth Rate (Yr 11 - 20)</t>
  </si>
  <si>
    <t>Stock Symbol</t>
  </si>
  <si>
    <t>AAPL</t>
  </si>
  <si>
    <t>Intrinsic Value before cash/debt</t>
  </si>
  <si>
    <t>Stock Currency</t>
  </si>
  <si>
    <t>Yahoo</t>
  </si>
  <si>
    <t>less Debt per Share</t>
  </si>
  <si>
    <t>Total Debt (Short Term + LT Debt)</t>
  </si>
  <si>
    <t>Plus (+) Cash Per Share</t>
  </si>
  <si>
    <t>Cash and Short Term Investments</t>
  </si>
  <si>
    <t>Final Intrinsic Value Per Share
(in Statement Currency)</t>
  </si>
  <si>
    <t>Finviz, Simply</t>
  </si>
  <si>
    <t>Final Intrinsic Value Per Share
(in Stock Currency)</t>
  </si>
  <si>
    <t>(Discount)/Premium</t>
  </si>
  <si>
    <t>Last Close</t>
  </si>
  <si>
    <t>Current Year</t>
  </si>
  <si>
    <t>NB: Take the last Fiscal Year as the Current Year</t>
  </si>
  <si>
    <t>Finviz</t>
  </si>
  <si>
    <t>No. of Shares Outstanding</t>
  </si>
  <si>
    <t>Discount Rate</t>
  </si>
  <si>
    <t>Year</t>
  </si>
  <si>
    <t>Discount Factor</t>
  </si>
  <si>
    <t>Discounted Value</t>
  </si>
  <si>
    <t>Discount Rate for US Stocks</t>
  </si>
  <si>
    <t>Discount Rate for China/HK Stocks</t>
  </si>
  <si>
    <t>BETA</t>
  </si>
  <si>
    <t>DISCOUNT RATE</t>
  </si>
  <si>
    <t>Less than 0.80</t>
  </si>
  <si>
    <t>More than 1.6</t>
  </si>
  <si>
    <t>Discount Rate = Risk Free Rate + Beta x Market Risk Premium</t>
  </si>
  <si>
    <t>Risk Free Rate =</t>
  </si>
  <si>
    <t>Average market risk premium =</t>
  </si>
  <si>
    <t>Source:</t>
  </si>
  <si>
    <t>http://www.market-risk-premia.com/us.html</t>
  </si>
  <si>
    <t>http://www.market-risk-premia.com/hk.html</t>
  </si>
  <si>
    <t>Currency Data</t>
  </si>
  <si>
    <t>CURRENCY</t>
  </si>
  <si>
    <t>SYMBOL</t>
  </si>
  <si>
    <t>Australian Dollar</t>
  </si>
  <si>
    <t>AUD$</t>
  </si>
  <si>
    <t>British Pound Sterling</t>
  </si>
  <si>
    <t>GBP$</t>
  </si>
  <si>
    <t>Chinese Ren Min Bi</t>
  </si>
  <si>
    <t>RMB$</t>
  </si>
  <si>
    <t>Euro Dollar</t>
  </si>
  <si>
    <t>EUR$</t>
  </si>
  <si>
    <t>Hong Kong Dollar</t>
  </si>
  <si>
    <t>HKD$</t>
  </si>
  <si>
    <t>Indonesian Rupiah</t>
  </si>
  <si>
    <t>IDR$</t>
  </si>
  <si>
    <t>Malaysian Ringgit</t>
  </si>
  <si>
    <t>RM$</t>
  </si>
  <si>
    <t>Singapore Dollar</t>
  </si>
  <si>
    <t>SGD$</t>
  </si>
  <si>
    <t>US Dollar</t>
  </si>
  <si>
    <t xml:space="preserve">©️ 2020 Piranha Ltd. All rights reserved.    </t>
  </si>
  <si>
    <t xml:space="preserve">        ©️ 2020 Piranha Ltd. All rights reserved. </t>
  </si>
  <si>
    <t>KEY IN THE VALUES IN RED</t>
  </si>
  <si>
    <t>Assuming a Discount rate of 4% per year.</t>
  </si>
  <si>
    <t>Intrinsic Value Calculator (Discounted Earnings Per Share Method 10 years)</t>
  </si>
  <si>
    <t>( Be consisent with the denominations used. Usually $)</t>
  </si>
  <si>
    <t>EPS (current)</t>
  </si>
  <si>
    <t xml:space="preserve">EPS growth rate </t>
  </si>
  <si>
    <t>EPS (Projected)</t>
  </si>
  <si>
    <t>Intrinsic Value:</t>
  </si>
  <si>
    <t>Note: This assumes EPS growth rate remains constant throughout the 10 years</t>
  </si>
  <si>
    <t>In certain cases, you may want to lower or increase the growth rate after a few years.</t>
  </si>
  <si>
    <t>Intrinsic Value Calculator (Discounted Cash Flow Method 10 years)</t>
  </si>
  <si>
    <t>Operating Cash Flow (current)</t>
  </si>
  <si>
    <t>million</t>
  </si>
  <si>
    <t>Cash flow growth rate</t>
  </si>
  <si>
    <t>Cash Flow (Projected)</t>
  </si>
  <si>
    <t>No. Shares Outstanding</t>
  </si>
  <si>
    <t>PV of 10 yr Cash flows</t>
  </si>
  <si>
    <t>Intrinsic Value per share</t>
  </si>
  <si>
    <t>Note: This assumes Cash growth rate remains constant throughout the 10 years</t>
  </si>
  <si>
    <t>NOTE: You can expand the DATA VALIDATION for each category by adding a new row to the category!</t>
  </si>
  <si>
    <t>Sector</t>
  </si>
  <si>
    <t>ALL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</si>
  <si>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</si>
  <si>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</si>
  <si>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</si>
  <si>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</si>
  <si>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</si>
  <si>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</si>
  <si>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</si>
  <si>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Materials</t>
  </si>
  <si>
    <t>Real Estate</t>
  </si>
  <si>
    <t>Technology</t>
  </si>
  <si>
    <t>Utilities</t>
  </si>
  <si>
    <t>Country</t>
  </si>
  <si>
    <t>US</t>
  </si>
  <si>
    <t>China</t>
  </si>
  <si>
    <t>Hong Kong</t>
  </si>
  <si>
    <t>Singapore</t>
  </si>
  <si>
    <t>Category</t>
  </si>
  <si>
    <t>Cyclical</t>
  </si>
  <si>
    <t>Deep Value</t>
  </si>
  <si>
    <t>Dividend</t>
  </si>
  <si>
    <t>ETF</t>
  </si>
  <si>
    <t>Large Growth</t>
  </si>
  <si>
    <t>Predictable</t>
  </si>
  <si>
    <t>Speculative Growth</t>
  </si>
  <si>
    <t>Turnarounds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</si>
</sst>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45" x14ac:knownFonts="1">
    <font>
      <sz val="10"/>
      <name val="Verdana"/>
    </font>
    <font>
      <sz val="10"/>
      <name val="Verdana"/>
      <family val="2"/>
    </font>
    <font>
      <b/>
      <sz val="12"/>
      <color indexed="10"/>
      <name val="Verdana"/>
      <family val="2"/>
    </font>
    <font>
      <b/>
      <sz val="12"/>
      <color indexed="9"/>
      <name val="Verdana"/>
      <family val="2"/>
    </font>
    <font>
      <b/>
      <sz val="12"/>
      <color indexed="53"/>
      <name val="Verdana"/>
      <family val="2"/>
    </font>
    <font>
      <b/>
      <sz val="10"/>
      <name val="Verdana"/>
      <family val="2"/>
    </font>
    <font>
      <b/>
      <sz val="10"/>
      <color indexed="9"/>
      <name val="Verdana"/>
      <family val="2"/>
    </font>
    <font>
      <b/>
      <sz val="12"/>
      <name val="Verdana"/>
      <family val="2"/>
    </font>
    <font>
      <sz val="10"/>
      <color indexed="9"/>
      <name val="Verdana"/>
      <family val="2"/>
    </font>
    <font>
      <b/>
      <sz val="18"/>
      <color indexed="10"/>
      <name val="Verdana"/>
      <family val="2"/>
    </font>
    <font>
      <sz val="10"/>
      <name val="Verdana"/>
      <family val="2"/>
    </font>
    <font>
      <b/>
      <sz val="20"/>
      <color indexed="10"/>
      <name val="Verdana"/>
      <family val="2"/>
    </font>
    <font>
      <sz val="12"/>
      <name val="Verdana"/>
      <family val="2"/>
    </font>
    <font>
      <sz val="12"/>
      <color indexed="9"/>
      <name val="Verdana"/>
      <family val="2"/>
    </font>
    <font>
      <sz val="10"/>
      <color indexed="9"/>
      <name val="Verdana"/>
      <family val="2"/>
    </font>
    <font>
      <b/>
      <sz val="10"/>
      <color indexed="9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indexed="10"/>
      <name val="Helvetica"/>
    </font>
    <font>
      <b/>
      <sz val="10"/>
      <name val="Helvetica"/>
    </font>
    <font>
      <b/>
      <sz val="12"/>
      <name val="Arial"/>
      <family val="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b/>
      <sz val="20"/>
      <color indexed="9"/>
      <name val="Arial"/>
      <family val="2"/>
    </font>
    <font>
      <b/>
      <sz val="11"/>
      <color indexed="13"/>
      <name val="Arial"/>
      <family val="2"/>
    </font>
    <font>
      <b/>
      <sz val="16"/>
      <color indexed="10"/>
      <name val="Helvetica"/>
    </font>
    <font>
      <sz val="12"/>
      <name val="Arial"/>
      <family val="2"/>
    </font>
    <font>
      <sz val="12"/>
      <color indexed="9"/>
      <name val="Arial"/>
      <family val="2"/>
    </font>
    <font>
      <u/>
      <sz val="10"/>
      <color theme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1"/>
      <color theme="0"/>
      <name val="Verdana"/>
      <family val="2"/>
    </font>
    <font>
      <b/>
      <sz val="11"/>
      <color theme="1"/>
      <name val="Verdan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0" fillId="0" borderId="0"/>
    <xf numFmtId="0" fontId="16" fillId="0" borderId="0"/>
    <xf numFmtId="0" fontId="17" fillId="0" borderId="0"/>
    <xf numFmtId="0" fontId="18" fillId="0" borderId="0"/>
    <xf numFmtId="9" fontId="18" fillId="0" borderId="0"/>
    <xf numFmtId="0" fontId="20" fillId="0" borderId="0"/>
    <xf numFmtId="9" fontId="20" fillId="0" borderId="0"/>
    <xf numFmtId="44" fontId="20" fillId="0" borderId="0"/>
  </cellStyleXfs>
  <cellXfs count="261">
    <xf numFmtId="0" fontId="0" fillId="0" borderId="0" xfId="0"/>
    <xf numFmtId="10" fontId="2" fillId="2" borderId="1" xfId="0" applyNumberFormat="1" applyFont="1" applyFill="1" applyBorder="1" applyAlignment="1">
      <alignment horizontal="center"/>
    </xf>
    <xf numFmtId="10" fontId="2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0" fontId="4" fillId="2" borderId="2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0" fontId="4" fillId="2" borderId="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/>
    <xf numFmtId="0" fontId="3" fillId="4" borderId="3" xfId="0" applyFont="1" applyFill="1" applyBorder="1" applyAlignment="1">
      <alignment horizontal="center"/>
    </xf>
    <xf numFmtId="0" fontId="8" fillId="0" borderId="0" xfId="0" applyFont="1"/>
    <xf numFmtId="0" fontId="7" fillId="3" borderId="3" xfId="0" applyFont="1" applyFill="1" applyBorder="1"/>
    <xf numFmtId="0" fontId="12" fillId="3" borderId="3" xfId="0" applyFont="1" applyFill="1" applyBorder="1" applyAlignment="1">
      <alignment horizontal="center"/>
    </xf>
    <xf numFmtId="0" fontId="11" fillId="0" borderId="0" xfId="0" applyFont="1"/>
    <xf numFmtId="0" fontId="7" fillId="2" borderId="3" xfId="0" applyFont="1" applyFill="1" applyBorder="1"/>
    <xf numFmtId="164" fontId="12" fillId="3" borderId="3" xfId="0" applyNumberFormat="1" applyFont="1" applyFill="1" applyBorder="1" applyAlignment="1">
      <alignment horizontal="center"/>
    </xf>
    <xf numFmtId="0" fontId="7" fillId="5" borderId="3" xfId="0" applyFont="1" applyFill="1" applyBorder="1"/>
    <xf numFmtId="2" fontId="12" fillId="5" borderId="3" xfId="0" applyNumberFormat="1" applyFont="1" applyFill="1" applyBorder="1" applyAlignment="1">
      <alignment horizontal="center"/>
    </xf>
    <xf numFmtId="0" fontId="3" fillId="6" borderId="3" xfId="0" applyFont="1" applyFill="1" applyBorder="1"/>
    <xf numFmtId="164" fontId="13" fillId="6" borderId="3" xfId="0" applyNumberFormat="1" applyFont="1" applyFill="1" applyBorder="1" applyAlignment="1">
      <alignment horizontal="center"/>
    </xf>
    <xf numFmtId="0" fontId="7" fillId="0" borderId="0" xfId="0" applyFont="1"/>
    <xf numFmtId="0" fontId="12" fillId="7" borderId="4" xfId="0" applyFont="1" applyFill="1" applyBorder="1"/>
    <xf numFmtId="0" fontId="10" fillId="7" borderId="5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0" fontId="12" fillId="7" borderId="7" xfId="0" applyFont="1" applyFill="1" applyBorder="1"/>
    <xf numFmtId="0" fontId="10" fillId="7" borderId="8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left" vertical="center"/>
    </xf>
    <xf numFmtId="164" fontId="6" fillId="9" borderId="3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left"/>
    </xf>
    <xf numFmtId="0" fontId="12" fillId="3" borderId="6" xfId="0" applyFont="1" applyFill="1" applyBorder="1" applyAlignment="1">
      <alignment horizontal="left"/>
    </xf>
    <xf numFmtId="0" fontId="3" fillId="10" borderId="11" xfId="0" applyFont="1" applyFill="1" applyBorder="1" applyAlignment="1">
      <alignment horizontal="left" vertical="center"/>
    </xf>
    <xf numFmtId="165" fontId="3" fillId="10" borderId="12" xfId="0" applyNumberFormat="1" applyFont="1" applyFill="1" applyBorder="1" applyAlignment="1">
      <alignment horizontal="right" vertical="center"/>
    </xf>
    <xf numFmtId="0" fontId="7" fillId="11" borderId="3" xfId="0" applyFont="1" applyFill="1" applyBorder="1" applyAlignment="1">
      <alignment vertical="center"/>
    </xf>
    <xf numFmtId="164" fontId="12" fillId="11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7" fillId="3" borderId="3" xfId="0" applyFont="1" applyFill="1" applyBorder="1" applyAlignment="1">
      <alignment vertical="center"/>
    </xf>
    <xf numFmtId="2" fontId="12" fillId="3" borderId="3" xfId="0" applyNumberFormat="1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vertical="center"/>
    </xf>
    <xf numFmtId="164" fontId="13" fillId="12" borderId="3" xfId="0" applyNumberFormat="1" applyFont="1" applyFill="1" applyBorder="1" applyAlignment="1">
      <alignment horizontal="center" vertical="center"/>
    </xf>
    <xf numFmtId="0" fontId="1" fillId="0" borderId="0" xfId="0" applyFont="1"/>
    <xf numFmtId="0" fontId="20" fillId="14" borderId="0" xfId="0" applyFont="1" applyFill="1"/>
    <xf numFmtId="0" fontId="19" fillId="15" borderId="0" xfId="0" applyFont="1" applyFill="1" applyAlignment="1">
      <alignment wrapText="1"/>
    </xf>
    <xf numFmtId="0" fontId="1" fillId="16" borderId="0" xfId="0" applyFont="1" applyFill="1" applyAlignment="1">
      <alignment vertical="center"/>
    </xf>
    <xf numFmtId="0" fontId="10" fillId="16" borderId="0" xfId="0" applyFont="1" applyFill="1" applyAlignment="1">
      <alignment vertical="center"/>
    </xf>
    <xf numFmtId="0" fontId="10" fillId="17" borderId="13" xfId="0" applyFont="1" applyFill="1" applyBorder="1"/>
    <xf numFmtId="0" fontId="10" fillId="17" borderId="14" xfId="0" applyFont="1" applyFill="1" applyBorder="1"/>
    <xf numFmtId="0" fontId="10" fillId="17" borderId="14" xfId="0" applyFont="1" applyFill="1" applyBorder="1" applyAlignment="1">
      <alignment horizontal="center"/>
    </xf>
    <xf numFmtId="0" fontId="10" fillId="17" borderId="15" xfId="0" applyFont="1" applyFill="1" applyBorder="1"/>
    <xf numFmtId="0" fontId="10" fillId="16" borderId="0" xfId="0" applyFont="1" applyFill="1"/>
    <xf numFmtId="0" fontId="9" fillId="16" borderId="0" xfId="0" applyFont="1" applyFill="1"/>
    <xf numFmtId="0" fontId="10" fillId="16" borderId="0" xfId="0" applyFont="1" applyFill="1" applyAlignment="1">
      <alignment horizontal="center"/>
    </xf>
    <xf numFmtId="0" fontId="10" fillId="18" borderId="16" xfId="0" applyFont="1" applyFill="1" applyBorder="1"/>
    <xf numFmtId="0" fontId="10" fillId="18" borderId="0" xfId="0" applyFont="1" applyFill="1"/>
    <xf numFmtId="0" fontId="6" fillId="18" borderId="0" xfId="0" applyFont="1" applyFill="1" applyAlignment="1">
      <alignment horizontal="center"/>
    </xf>
    <xf numFmtId="0" fontId="8" fillId="18" borderId="0" xfId="0" applyFont="1" applyFill="1" applyAlignment="1">
      <alignment horizontal="center"/>
    </xf>
    <xf numFmtId="0" fontId="8" fillId="18" borderId="0" xfId="0" applyFont="1" applyFill="1"/>
    <xf numFmtId="0" fontId="10" fillId="18" borderId="17" xfId="0" applyFont="1" applyFill="1" applyBorder="1"/>
    <xf numFmtId="0" fontId="21" fillId="18" borderId="0" xfId="0" applyFont="1" applyFill="1"/>
    <xf numFmtId="0" fontId="22" fillId="18" borderId="0" xfId="0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0" fontId="10" fillId="18" borderId="0" xfId="0" applyFont="1" applyFill="1" applyAlignment="1">
      <alignment horizontal="center"/>
    </xf>
    <xf numFmtId="0" fontId="7" fillId="18" borderId="0" xfId="0" applyFont="1" applyFill="1"/>
    <xf numFmtId="164" fontId="7" fillId="18" borderId="0" xfId="0" applyNumberFormat="1" applyFont="1" applyFill="1" applyAlignment="1">
      <alignment horizontal="center" vertical="center"/>
    </xf>
    <xf numFmtId="0" fontId="3" fillId="18" borderId="0" xfId="0" applyFont="1" applyFill="1" applyAlignment="1">
      <alignment vertical="center"/>
    </xf>
    <xf numFmtId="0" fontId="10" fillId="18" borderId="0" xfId="0" applyFont="1" applyFill="1" applyAlignment="1">
      <alignment vertical="center"/>
    </xf>
    <xf numFmtId="0" fontId="0" fillId="18" borderId="16" xfId="0" applyFill="1" applyBorder="1"/>
    <xf numFmtId="0" fontId="1" fillId="18" borderId="0" xfId="0" applyFont="1" applyFill="1"/>
    <xf numFmtId="0" fontId="1" fillId="18" borderId="0" xfId="0" applyFont="1" applyFill="1" applyAlignment="1">
      <alignment vertical="center"/>
    </xf>
    <xf numFmtId="9" fontId="7" fillId="18" borderId="0" xfId="1" applyFont="1" applyFill="1" applyAlignment="1">
      <alignment horizontal="center" vertical="center"/>
    </xf>
    <xf numFmtId="2" fontId="10" fillId="18" borderId="3" xfId="0" applyNumberFormat="1" applyFont="1" applyFill="1" applyBorder="1" applyAlignment="1">
      <alignment horizontal="center" vertical="center"/>
    </xf>
    <xf numFmtId="0" fontId="10" fillId="18" borderId="14" xfId="0" applyFont="1" applyFill="1" applyBorder="1"/>
    <xf numFmtId="0" fontId="10" fillId="18" borderId="13" xfId="0" applyFont="1" applyFill="1" applyBorder="1"/>
    <xf numFmtId="0" fontId="10" fillId="18" borderId="15" xfId="0" applyFont="1" applyFill="1" applyBorder="1"/>
    <xf numFmtId="0" fontId="28" fillId="18" borderId="0" xfId="0" applyFont="1" applyFill="1" applyAlignment="1">
      <alignment horizontal="left" vertical="center" indent="1"/>
    </xf>
    <xf numFmtId="0" fontId="10" fillId="17" borderId="29" xfId="0" applyFont="1" applyFill="1" applyBorder="1" applyAlignment="1">
      <alignment horizontal="center"/>
    </xf>
    <xf numFmtId="0" fontId="6" fillId="17" borderId="29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left" vertical="center"/>
    </xf>
    <xf numFmtId="0" fontId="6" fillId="17" borderId="2" xfId="0" applyFont="1" applyFill="1" applyBorder="1" applyAlignment="1">
      <alignment vertical="center"/>
    </xf>
    <xf numFmtId="0" fontId="6" fillId="17" borderId="1" xfId="0" applyFont="1" applyFill="1" applyBorder="1" applyAlignment="1">
      <alignment vertical="center"/>
    </xf>
    <xf numFmtId="0" fontId="10" fillId="17" borderId="1" xfId="0" applyFont="1" applyFill="1" applyBorder="1"/>
    <xf numFmtId="0" fontId="24" fillId="17" borderId="2" xfId="0" applyFont="1" applyFill="1" applyBorder="1" applyAlignment="1">
      <alignment horizontal="left" vertical="center" indent="1"/>
    </xf>
    <xf numFmtId="0" fontId="24" fillId="17" borderId="29" xfId="0" applyFont="1" applyFill="1" applyBorder="1" applyAlignment="1">
      <alignment horizontal="left" vertical="center" indent="1"/>
    </xf>
    <xf numFmtId="0" fontId="24" fillId="17" borderId="1" xfId="0" applyFont="1" applyFill="1" applyBorder="1" applyAlignment="1">
      <alignment horizontal="left" vertical="center" indent="1"/>
    </xf>
    <xf numFmtId="0" fontId="25" fillId="18" borderId="0" xfId="0" applyFont="1" applyFill="1" applyAlignment="1">
      <alignment horizontal="left" vertical="center" indent="1"/>
    </xf>
    <xf numFmtId="0" fontId="18" fillId="18" borderId="0" xfId="0" applyFont="1" applyFill="1" applyAlignment="1">
      <alignment horizontal="left" vertical="center" indent="1"/>
    </xf>
    <xf numFmtId="0" fontId="23" fillId="18" borderId="0" xfId="0" applyFont="1" applyFill="1" applyAlignment="1">
      <alignment horizontal="left" vertical="center" indent="1"/>
    </xf>
    <xf numFmtId="164" fontId="24" fillId="17" borderId="2" xfId="0" applyNumberFormat="1" applyFont="1" applyFill="1" applyBorder="1" applyAlignment="1">
      <alignment horizontal="left" vertical="center" indent="1"/>
    </xf>
    <xf numFmtId="0" fontId="18" fillId="18" borderId="0" xfId="0" applyFont="1" applyFill="1" applyAlignment="1">
      <alignment horizontal="left" indent="1"/>
    </xf>
    <xf numFmtId="0" fontId="6" fillId="17" borderId="29" xfId="0" applyFont="1" applyFill="1" applyBorder="1" applyAlignment="1">
      <alignment vertical="center"/>
    </xf>
    <xf numFmtId="164" fontId="10" fillId="20" borderId="3" xfId="0" applyNumberFormat="1" applyFont="1" applyFill="1" applyBorder="1" applyAlignment="1">
      <alignment horizontal="center" vertical="center"/>
    </xf>
    <xf numFmtId="0" fontId="15" fillId="19" borderId="2" xfId="0" applyFont="1" applyFill="1" applyBorder="1" applyAlignment="1">
      <alignment horizontal="right" vertical="center"/>
    </xf>
    <xf numFmtId="0" fontId="15" fillId="19" borderId="29" xfId="0" applyFont="1" applyFill="1" applyBorder="1" applyAlignment="1">
      <alignment horizontal="right" vertical="center"/>
    </xf>
    <xf numFmtId="0" fontId="10" fillId="19" borderId="1" xfId="0" applyFont="1" applyFill="1" applyBorder="1" applyAlignment="1">
      <alignment vertical="center"/>
    </xf>
    <xf numFmtId="0" fontId="15" fillId="19" borderId="3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vertical="center"/>
    </xf>
    <xf numFmtId="0" fontId="5" fillId="18" borderId="29" xfId="0" applyFont="1" applyFill="1" applyBorder="1" applyAlignment="1">
      <alignment vertical="center"/>
    </xf>
    <xf numFmtId="0" fontId="5" fillId="18" borderId="1" xfId="0" applyFont="1" applyFill="1" applyBorder="1" applyAlignment="1">
      <alignment vertical="center"/>
    </xf>
    <xf numFmtId="0" fontId="15" fillId="21" borderId="2" xfId="0" applyFont="1" applyFill="1" applyBorder="1" applyAlignment="1">
      <alignment vertical="center"/>
    </xf>
    <xf numFmtId="0" fontId="15" fillId="21" borderId="29" xfId="0" applyFont="1" applyFill="1" applyBorder="1" applyAlignment="1">
      <alignment vertical="center"/>
    </xf>
    <xf numFmtId="0" fontId="15" fillId="21" borderId="1" xfId="0" applyFont="1" applyFill="1" applyBorder="1" applyAlignment="1">
      <alignment vertical="center"/>
    </xf>
    <xf numFmtId="164" fontId="14" fillId="21" borderId="3" xfId="0" applyNumberFormat="1" applyFont="1" applyFill="1" applyBorder="1" applyAlignment="1">
      <alignment horizontal="center" vertical="center"/>
    </xf>
    <xf numFmtId="0" fontId="32" fillId="18" borderId="0" xfId="0" applyFont="1" applyFill="1"/>
    <xf numFmtId="0" fontId="12" fillId="16" borderId="0" xfId="0" applyFont="1" applyFill="1"/>
    <xf numFmtId="0" fontId="1" fillId="16" borderId="0" xfId="0" applyFont="1" applyFill="1"/>
    <xf numFmtId="0" fontId="12" fillId="16" borderId="0" xfId="0" applyFont="1" applyFill="1" applyAlignment="1">
      <alignment vertical="center"/>
    </xf>
    <xf numFmtId="0" fontId="18" fillId="16" borderId="0" xfId="0" applyFont="1" applyFill="1"/>
    <xf numFmtId="0" fontId="23" fillId="16" borderId="0" xfId="0" applyFont="1" applyFill="1"/>
    <xf numFmtId="0" fontId="33" fillId="16" borderId="0" xfId="0" applyFont="1" applyFill="1"/>
    <xf numFmtId="49" fontId="27" fillId="16" borderId="0" xfId="0" applyNumberFormat="1" applyFont="1" applyFill="1" applyAlignment="1">
      <alignment horizontal="left"/>
    </xf>
    <xf numFmtId="0" fontId="23" fillId="16" borderId="0" xfId="0" applyFont="1" applyFill="1" applyAlignment="1">
      <alignment horizontal="left"/>
    </xf>
    <xf numFmtId="49" fontId="23" fillId="16" borderId="0" xfId="0" applyNumberFormat="1" applyFont="1" applyFill="1" applyAlignment="1">
      <alignment horizontal="left"/>
    </xf>
    <xf numFmtId="0" fontId="25" fillId="17" borderId="12" xfId="0" applyFont="1" applyFill="1" applyBorder="1" applyAlignment="1">
      <alignment horizontal="left" vertical="center"/>
    </xf>
    <xf numFmtId="0" fontId="25" fillId="17" borderId="21" xfId="0" applyFont="1" applyFill="1" applyBorder="1" applyAlignment="1">
      <alignment horizontal="left" vertical="center"/>
    </xf>
    <xf numFmtId="0" fontId="34" fillId="17" borderId="11" xfId="0" applyFont="1" applyFill="1" applyBorder="1" applyAlignment="1">
      <alignment horizontal="left" vertical="center"/>
    </xf>
    <xf numFmtId="0" fontId="18" fillId="16" borderId="0" xfId="0" applyFont="1" applyFill="1" applyAlignment="1">
      <alignment vertical="center"/>
    </xf>
    <xf numFmtId="0" fontId="33" fillId="16" borderId="0" xfId="0" applyFont="1" applyFill="1" applyAlignment="1">
      <alignment vertical="center"/>
    </xf>
    <xf numFmtId="0" fontId="33" fillId="16" borderId="0" xfId="0" applyFont="1" applyFill="1" applyAlignment="1">
      <alignment horizontal="center" vertical="center"/>
    </xf>
    <xf numFmtId="0" fontId="35" fillId="16" borderId="0" xfId="0" applyFont="1" applyFill="1"/>
    <xf numFmtId="0" fontId="36" fillId="16" borderId="0" xfId="0" applyFont="1" applyFill="1"/>
    <xf numFmtId="0" fontId="25" fillId="17" borderId="12" xfId="0" applyFont="1" applyFill="1" applyBorder="1" applyAlignment="1">
      <alignment vertical="center"/>
    </xf>
    <xf numFmtId="0" fontId="25" fillId="17" borderId="21" xfId="0" applyFont="1" applyFill="1" applyBorder="1" applyAlignment="1">
      <alignment vertical="center"/>
    </xf>
    <xf numFmtId="0" fontId="34" fillId="17" borderId="11" xfId="0" applyFont="1" applyFill="1" applyBorder="1" applyAlignment="1">
      <alignment vertical="center"/>
    </xf>
    <xf numFmtId="0" fontId="25" fillId="17" borderId="11" xfId="0" applyFont="1" applyFill="1" applyBorder="1" applyAlignment="1">
      <alignment vertical="center"/>
    </xf>
    <xf numFmtId="0" fontId="27" fillId="16" borderId="19" xfId="0" applyFont="1" applyFill="1" applyBorder="1" applyAlignment="1">
      <alignment vertical="center"/>
    </xf>
    <xf numFmtId="0" fontId="27" fillId="16" borderId="20" xfId="0" applyFont="1" applyFill="1" applyBorder="1" applyAlignment="1">
      <alignment vertical="center"/>
    </xf>
    <xf numFmtId="0" fontId="27" fillId="16" borderId="25" xfId="0" applyFont="1" applyFill="1" applyBorder="1" applyAlignment="1">
      <alignment vertical="center"/>
    </xf>
    <xf numFmtId="0" fontId="27" fillId="16" borderId="16" xfId="0" applyFont="1" applyFill="1" applyBorder="1" applyAlignment="1">
      <alignment vertical="center"/>
    </xf>
    <xf numFmtId="0" fontId="27" fillId="16" borderId="17" xfId="0" applyFont="1" applyFill="1" applyBorder="1" applyAlignment="1">
      <alignment vertical="center"/>
    </xf>
    <xf numFmtId="0" fontId="27" fillId="16" borderId="27" xfId="0" applyFont="1" applyFill="1" applyBorder="1" applyAlignment="1">
      <alignment vertical="center"/>
    </xf>
    <xf numFmtId="0" fontId="27" fillId="16" borderId="13" xfId="0" applyFont="1" applyFill="1" applyBorder="1" applyAlignment="1">
      <alignment vertical="center"/>
    </xf>
    <xf numFmtId="0" fontId="27" fillId="16" borderId="15" xfId="0" applyFont="1" applyFill="1" applyBorder="1" applyAlignment="1">
      <alignment vertical="center"/>
    </xf>
    <xf numFmtId="0" fontId="27" fillId="16" borderId="26" xfId="0" applyFont="1" applyFill="1" applyBorder="1" applyAlignment="1">
      <alignment vertical="center"/>
    </xf>
    <xf numFmtId="0" fontId="1" fillId="16" borderId="0" xfId="0" applyFont="1" applyFill="1" applyAlignment="1">
      <alignment horizontal="center"/>
    </xf>
    <xf numFmtId="0" fontId="26" fillId="16" borderId="19" xfId="0" applyFont="1" applyFill="1" applyBorder="1" applyAlignment="1">
      <alignment vertical="center"/>
    </xf>
    <xf numFmtId="0" fontId="26" fillId="16" borderId="18" xfId="0" applyFont="1" applyFill="1" applyBorder="1" applyAlignment="1">
      <alignment vertical="center"/>
    </xf>
    <xf numFmtId="166" fontId="26" fillId="16" borderId="19" xfId="0" applyNumberFormat="1" applyFont="1" applyFill="1" applyBorder="1" applyAlignment="1">
      <alignment horizontal="left" vertical="center"/>
    </xf>
    <xf numFmtId="0" fontId="26" fillId="16" borderId="16" xfId="0" applyFont="1" applyFill="1" applyBorder="1" applyAlignment="1">
      <alignment horizontal="left" vertical="center"/>
    </xf>
    <xf numFmtId="0" fontId="26" fillId="16" borderId="0" xfId="0" applyFont="1" applyFill="1" applyAlignment="1">
      <alignment horizontal="left" vertical="center"/>
    </xf>
    <xf numFmtId="166" fontId="26" fillId="16" borderId="16" xfId="0" applyNumberFormat="1" applyFont="1" applyFill="1" applyBorder="1" applyAlignment="1">
      <alignment horizontal="left" vertical="center"/>
    </xf>
    <xf numFmtId="0" fontId="26" fillId="16" borderId="13" xfId="0" applyFont="1" applyFill="1" applyBorder="1" applyAlignment="1">
      <alignment horizontal="left" vertical="center"/>
    </xf>
    <xf numFmtId="0" fontId="26" fillId="16" borderId="14" xfId="0" applyFont="1" applyFill="1" applyBorder="1" applyAlignment="1">
      <alignment horizontal="left" vertical="center"/>
    </xf>
    <xf numFmtId="166" fontId="26" fillId="16" borderId="13" xfId="0" applyNumberFormat="1" applyFont="1" applyFill="1" applyBorder="1" applyAlignment="1">
      <alignment horizontal="left" vertical="center"/>
    </xf>
    <xf numFmtId="0" fontId="26" fillId="16" borderId="20" xfId="0" applyFont="1" applyFill="1" applyBorder="1" applyAlignment="1">
      <alignment vertical="center"/>
    </xf>
    <xf numFmtId="166" fontId="26" fillId="16" borderId="18" xfId="0" applyNumberFormat="1" applyFont="1" applyFill="1" applyBorder="1" applyAlignment="1">
      <alignment horizontal="left" vertical="center"/>
    </xf>
    <xf numFmtId="0" fontId="26" fillId="16" borderId="17" xfId="0" applyFont="1" applyFill="1" applyBorder="1" applyAlignment="1">
      <alignment horizontal="left" vertical="center"/>
    </xf>
    <xf numFmtId="166" fontId="26" fillId="16" borderId="0" xfId="0" applyNumberFormat="1" applyFont="1" applyFill="1" applyAlignment="1">
      <alignment horizontal="left" vertical="center"/>
    </xf>
    <xf numFmtId="0" fontId="26" fillId="16" borderId="15" xfId="0" applyFont="1" applyFill="1" applyBorder="1" applyAlignment="1">
      <alignment horizontal="left" vertical="center"/>
    </xf>
    <xf numFmtId="0" fontId="38" fillId="19" borderId="10" xfId="0" applyFont="1" applyFill="1" applyBorder="1" applyAlignment="1">
      <alignment vertical="center"/>
    </xf>
    <xf numFmtId="0" fontId="39" fillId="14" borderId="28" xfId="0" applyFont="1" applyFill="1" applyBorder="1" applyAlignment="1">
      <alignment vertical="center"/>
    </xf>
    <xf numFmtId="0" fontId="39" fillId="14" borderId="24" xfId="0" applyFont="1" applyFill="1" applyBorder="1" applyAlignment="1">
      <alignment vertical="center"/>
    </xf>
    <xf numFmtId="0" fontId="20" fillId="14" borderId="24" xfId="0" applyFont="1" applyFill="1" applyBorder="1" applyAlignment="1">
      <alignment vertical="center"/>
    </xf>
    <xf numFmtId="0" fontId="24" fillId="18" borderId="0" xfId="0" applyFont="1" applyFill="1" applyAlignment="1">
      <alignment horizontal="left" vertical="center" indent="1"/>
    </xf>
    <xf numFmtId="0" fontId="37" fillId="18" borderId="0" xfId="0" applyFont="1" applyFill="1" applyAlignment="1">
      <alignment horizontal="left" vertical="center" indent="1"/>
    </xf>
    <xf numFmtId="0" fontId="1" fillId="18" borderId="0" xfId="0" applyFont="1" applyFill="1" applyAlignment="1">
      <alignment horizontal="left" indent="1"/>
    </xf>
    <xf numFmtId="0" fontId="6" fillId="18" borderId="0" xfId="0" applyFont="1" applyFill="1" applyAlignment="1">
      <alignment horizontal="left" vertical="center" indent="1"/>
    </xf>
    <xf numFmtId="0" fontId="6" fillId="17" borderId="29" xfId="0" applyFont="1" applyFill="1" applyBorder="1" applyAlignment="1">
      <alignment horizontal="left" vertical="center" indent="1"/>
    </xf>
    <xf numFmtId="0" fontId="6" fillId="17" borderId="1" xfId="0" applyFont="1" applyFill="1" applyBorder="1" applyAlignment="1">
      <alignment horizontal="left" vertical="center" indent="1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18" fillId="0" borderId="0" xfId="0" applyFont="1"/>
    <xf numFmtId="0" fontId="33" fillId="0" borderId="0" xfId="0" applyFont="1"/>
    <xf numFmtId="0" fontId="37" fillId="16" borderId="0" xfId="0" applyFont="1" applyFill="1"/>
    <xf numFmtId="0" fontId="25" fillId="17" borderId="18" xfId="0" applyFont="1" applyFill="1" applyBorder="1" applyAlignment="1">
      <alignment vertical="center"/>
    </xf>
    <xf numFmtId="0" fontId="34" fillId="17" borderId="20" xfId="0" applyFont="1" applyFill="1" applyBorder="1" applyAlignment="1">
      <alignment vertical="center"/>
    </xf>
    <xf numFmtId="0" fontId="25" fillId="17" borderId="19" xfId="0" applyFont="1" applyFill="1" applyBorder="1" applyAlignment="1">
      <alignment vertical="center"/>
    </xf>
    <xf numFmtId="0" fontId="26" fillId="16" borderId="16" xfId="0" applyFont="1" applyFill="1" applyBorder="1" applyAlignment="1">
      <alignment vertical="center"/>
    </xf>
    <xf numFmtId="0" fontId="26" fillId="16" borderId="0" xfId="0" applyFont="1" applyFill="1" applyAlignment="1">
      <alignment vertical="center"/>
    </xf>
    <xf numFmtId="0" fontId="25" fillId="17" borderId="20" xfId="0" applyFont="1" applyFill="1" applyBorder="1" applyAlignment="1">
      <alignment vertical="center"/>
    </xf>
    <xf numFmtId="0" fontId="1" fillId="14" borderId="0" xfId="0" applyFont="1" applyFill="1"/>
    <xf numFmtId="0" fontId="1" fillId="14" borderId="0" xfId="0" applyFont="1" applyFill="1" applyAlignment="1">
      <alignment vertical="center"/>
    </xf>
    <xf numFmtId="0" fontId="10" fillId="14" borderId="0" xfId="0" applyFont="1" applyFill="1" applyAlignment="1">
      <alignment vertical="center"/>
    </xf>
    <xf numFmtId="0" fontId="10" fillId="14" borderId="0" xfId="0" applyFont="1" applyFill="1"/>
    <xf numFmtId="0" fontId="33" fillId="14" borderId="0" xfId="0" applyFont="1" applyFill="1"/>
    <xf numFmtId="0" fontId="18" fillId="1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40" fillId="0" borderId="0" xfId="0" applyFont="1"/>
    <xf numFmtId="0" fontId="1" fillId="0" borderId="0" xfId="0" applyFont="1" applyAlignment="1">
      <alignment vertical="center"/>
    </xf>
    <xf numFmtId="0" fontId="40" fillId="14" borderId="0" xfId="0" applyFont="1" applyFill="1"/>
    <xf numFmtId="0" fontId="1" fillId="18" borderId="0" xfId="0" applyFont="1" applyFill="1" applyAlignment="1">
      <alignment horizontal="center"/>
    </xf>
    <xf numFmtId="0" fontId="37" fillId="14" borderId="1" xfId="0" applyFont="1" applyFill="1" applyBorder="1" applyAlignment="1">
      <alignment horizontal="center" vertical="center"/>
    </xf>
    <xf numFmtId="0" fontId="41" fillId="18" borderId="0" xfId="0" applyFont="1" applyFill="1" applyAlignment="1">
      <alignment horizontal="center"/>
    </xf>
    <xf numFmtId="164" fontId="5" fillId="18" borderId="0" xfId="0" applyNumberFormat="1" applyFont="1" applyFill="1" applyAlignment="1">
      <alignment horizontal="center"/>
    </xf>
    <xf numFmtId="167" fontId="5" fillId="14" borderId="2" xfId="0" applyNumberFormat="1" applyFont="1" applyFill="1" applyBorder="1" applyAlignment="1">
      <alignment horizontal="right" vertical="center"/>
    </xf>
    <xf numFmtId="9" fontId="5" fillId="18" borderId="0" xfId="1" applyFont="1" applyFill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164" fontId="42" fillId="14" borderId="2" xfId="0" applyNumberFormat="1" applyFont="1" applyFill="1" applyBorder="1" applyAlignment="1">
      <alignment horizontal="right" vertical="center"/>
    </xf>
    <xf numFmtId="168" fontId="5" fillId="14" borderId="29" xfId="0" applyNumberFormat="1" applyFont="1" applyFill="1" applyBorder="1" applyAlignment="1">
      <alignment horizontal="center" vertical="center"/>
    </xf>
    <xf numFmtId="0" fontId="27" fillId="16" borderId="0" xfId="0" applyFont="1" applyFill="1"/>
    <xf numFmtId="49" fontId="26" fillId="16" borderId="0" xfId="0" applyNumberFormat="1" applyFont="1" applyFill="1" applyAlignment="1">
      <alignment horizontal="left" vertical="center"/>
    </xf>
    <xf numFmtId="0" fontId="27" fillId="16" borderId="0" xfId="0" applyFont="1" applyFill="1" applyAlignment="1">
      <alignment vertical="center"/>
    </xf>
    <xf numFmtId="0" fontId="27" fillId="14" borderId="0" xfId="0" applyFont="1" applyFill="1"/>
    <xf numFmtId="0" fontId="26" fillId="16" borderId="0" xfId="0" applyFont="1" applyFill="1" applyAlignment="1">
      <alignment horizontal="right" vertical="center"/>
    </xf>
    <xf numFmtId="10" fontId="26" fillId="16" borderId="3" xfId="1" applyNumberFormat="1" applyFont="1" applyFill="1" applyBorder="1" applyAlignment="1">
      <alignment horizontal="center" vertical="center"/>
    </xf>
    <xf numFmtId="0" fontId="10" fillId="22" borderId="0" xfId="0" applyFont="1" applyFill="1"/>
    <xf numFmtId="0" fontId="1" fillId="22" borderId="0" xfId="0" applyFont="1" applyFill="1" applyAlignment="1">
      <alignment horizontal="center"/>
    </xf>
    <xf numFmtId="0" fontId="1" fillId="22" borderId="0" xfId="0" applyFont="1" applyFill="1"/>
    <xf numFmtId="0" fontId="29" fillId="17" borderId="2" xfId="0" applyFont="1" applyFill="1" applyBorder="1" applyAlignment="1">
      <alignment horizontal="right" vertical="center"/>
    </xf>
    <xf numFmtId="167" fontId="43" fillId="19" borderId="2" xfId="0" applyNumberFormat="1" applyFont="1" applyFill="1" applyBorder="1" applyAlignment="1">
      <alignment horizontal="right" vertical="center"/>
    </xf>
    <xf numFmtId="0" fontId="27" fillId="16" borderId="0" xfId="0" applyFont="1" applyFill="1" applyAlignment="1">
      <alignment horizontal="center" vertical="center"/>
    </xf>
    <xf numFmtId="169" fontId="1" fillId="18" borderId="0" xfId="0" applyNumberFormat="1" applyFont="1" applyFill="1" applyAlignment="1">
      <alignment horizontal="left" vertical="center" indent="2"/>
    </xf>
    <xf numFmtId="169" fontId="1" fillId="18" borderId="0" xfId="0" applyNumberFormat="1" applyFont="1" applyFill="1" applyAlignment="1">
      <alignment horizontal="left" indent="2"/>
    </xf>
    <xf numFmtId="167" fontId="5" fillId="20" borderId="2" xfId="0" applyNumberFormat="1" applyFont="1" applyFill="1" applyBorder="1" applyAlignment="1">
      <alignment horizontal="right" vertical="center"/>
    </xf>
    <xf numFmtId="167" fontId="44" fillId="23" borderId="2" xfId="0" applyNumberFormat="1" applyFont="1" applyFill="1" applyBorder="1" applyAlignment="1">
      <alignment horizontal="right" vertical="center"/>
    </xf>
    <xf numFmtId="166" fontId="26" fillId="16" borderId="14" xfId="0" applyNumberFormat="1" applyFont="1" applyFill="1" applyBorder="1" applyAlignment="1">
      <alignment horizontal="left" vertical="center"/>
    </xf>
    <xf numFmtId="0" fontId="1" fillId="18" borderId="16" xfId="0" applyFont="1" applyFill="1" applyBorder="1"/>
    <xf numFmtId="10" fontId="5" fillId="14" borderId="3" xfId="1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1" xfId="0" applyBorder="1"/>
    <xf numFmtId="169" fontId="5" fillId="14" borderId="1" xfId="0" applyNumberFormat="1" applyFont="1" applyFill="1" applyBorder="1" applyAlignment="1">
      <alignment horizontal="left" vertical="center" indent="2"/>
    </xf>
    <xf numFmtId="4" fontId="44" fillId="23" borderId="1" xfId="0" applyNumberFormat="1" applyFont="1" applyFill="1" applyBorder="1" applyAlignment="1">
      <alignment horizontal="center" vertical="center"/>
    </xf>
    <xf numFmtId="164" fontId="5" fillId="14" borderId="3" xfId="0" applyNumberFormat="1" applyFont="1" applyFill="1" applyBorder="1" applyAlignment="1">
      <alignment horizontal="center" vertical="center" wrapText="1"/>
    </xf>
    <xf numFmtId="170" fontId="5" fillId="14" borderId="3" xfId="1" applyNumberFormat="1" applyFont="1" applyFill="1" applyBorder="1" applyAlignment="1">
      <alignment horizontal="center" vertical="center"/>
    </xf>
    <xf numFmtId="0" fontId="31" fillId="17" borderId="27" xfId="0" applyFont="1" applyFill="1" applyBorder="1" applyAlignment="1">
      <alignment horizontal="center" vertical="top"/>
    </xf>
    <xf numFmtId="0" fontId="1" fillId="14" borderId="0" xfId="0" applyFont="1" applyFill="1"/>
    <xf numFmtId="0" fontId="0" fillId="0" borderId="17" xfId="0" applyBorder="1"/>
    <xf numFmtId="0" fontId="24" fillId="17" borderId="3" xfId="0" applyFont="1" applyFill="1" applyBorder="1" applyAlignment="1">
      <alignment horizontal="left" vertical="center" indent="1"/>
    </xf>
    <xf numFmtId="0" fontId="29" fillId="17" borderId="3" xfId="0" applyFont="1" applyFill="1" applyBorder="1" applyAlignment="1">
      <alignment horizontal="center" vertical="center"/>
    </xf>
    <xf numFmtId="0" fontId="24" fillId="17" borderId="2" xfId="0" applyFont="1" applyFill="1" applyBorder="1" applyAlignment="1">
      <alignment horizontal="left" vertical="center" wrapText="1" indent="1"/>
    </xf>
    <xf numFmtId="4" fontId="5" fillId="20" borderId="1" xfId="0" applyNumberFormat="1" applyFont="1" applyFill="1" applyBorder="1" applyAlignment="1">
      <alignment horizontal="center" vertical="center"/>
    </xf>
    <xf numFmtId="10" fontId="43" fillId="19" borderId="3" xfId="1" applyNumberFormat="1" applyFont="1" applyFill="1" applyBorder="1" applyAlignment="1">
      <alignment horizontal="center" vertical="center"/>
    </xf>
    <xf numFmtId="0" fontId="1" fillId="16" borderId="0" xfId="0" applyFont="1" applyFill="1" applyAlignment="1">
      <alignment horizontal="right" vertical="center"/>
    </xf>
    <xf numFmtId="0" fontId="5" fillId="14" borderId="3" xfId="0" applyFont="1" applyFill="1" applyBorder="1" applyAlignment="1">
      <alignment horizontal="center" vertical="center"/>
    </xf>
    <xf numFmtId="4" fontId="43" fillId="19" borderId="1" xfId="0" applyNumberFormat="1" applyFont="1" applyFill="1" applyBorder="1" applyAlignment="1">
      <alignment horizontal="center" vertical="center"/>
    </xf>
    <xf numFmtId="0" fontId="30" fillId="17" borderId="25" xfId="0" applyFont="1" applyFill="1" applyBorder="1" applyAlignment="1">
      <alignment horizontal="center"/>
    </xf>
    <xf numFmtId="0" fontId="0" fillId="0" borderId="18" xfId="0" applyBorder="1"/>
    <xf numFmtId="0" fontId="0" fillId="0" borderId="20" xfId="0" applyBorder="1"/>
    <xf numFmtId="4" fontId="42" fillId="14" borderId="1" xfId="0" applyNumberFormat="1" applyFont="1" applyFill="1" applyBorder="1" applyAlignment="1">
      <alignment horizontal="center" vertical="center"/>
    </xf>
    <xf numFmtId="170" fontId="5" fillId="20" borderId="1" xfId="0" applyNumberFormat="1" applyFont="1" applyFill="1" applyBorder="1" applyAlignment="1">
      <alignment horizontal="center" vertical="center"/>
    </xf>
    <xf numFmtId="166" fontId="5" fillId="14" borderId="3" xfId="1" applyNumberFormat="1" applyFont="1" applyFill="1" applyBorder="1" applyAlignment="1">
      <alignment horizontal="center" vertical="center"/>
    </xf>
    <xf numFmtId="0" fontId="5" fillId="20" borderId="3" xfId="0" applyFont="1" applyFill="1" applyBorder="1" applyAlignment="1">
      <alignment horizontal="left" vertical="center"/>
    </xf>
    <xf numFmtId="49" fontId="5" fillId="14" borderId="3" xfId="0" applyNumberFormat="1" applyFont="1" applyFill="1" applyBorder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10" fillId="0" borderId="0" xfId="0" applyFont="1"/>
    <xf numFmtId="164" fontId="5" fillId="14" borderId="3" xfId="0" applyNumberFormat="1" applyFont="1" applyFill="1" applyBorder="1" applyAlignment="1">
      <alignment horizontal="center" vertical="center"/>
    </xf>
    <xf numFmtId="4" fontId="5" fillId="14" borderId="1" xfId="0" applyNumberFormat="1" applyFont="1" applyFill="1" applyBorder="1" applyAlignment="1">
      <alignment horizontal="center" vertical="center"/>
    </xf>
    <xf numFmtId="164" fontId="3" fillId="10" borderId="32" xfId="0" applyNumberFormat="1" applyFont="1" applyFill="1" applyBorder="1" applyAlignment="1">
      <alignment horizontal="center" vertical="center"/>
    </xf>
    <xf numFmtId="0" fontId="0" fillId="0" borderId="11" xfId="0" applyBorder="1"/>
    <xf numFmtId="0" fontId="3" fillId="8" borderId="23" xfId="0" applyFont="1" applyFill="1" applyBorder="1" applyAlignment="1">
      <alignment horizontal="left" vertical="center"/>
    </xf>
    <xf numFmtId="0" fontId="0" fillId="0" borderId="31" xfId="0" applyBorder="1"/>
    <xf numFmtId="0" fontId="12" fillId="13" borderId="24" xfId="0" applyFont="1" applyFill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2" borderId="3" xfId="0" applyFont="1" applyFill="1" applyBorder="1" applyAlignment="1">
      <alignment horizontal="left"/>
    </xf>
    <xf numFmtId="0" fontId="12" fillId="13" borderId="10" xfId="0" applyFont="1" applyFill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3" fillId="8" borderId="22" xfId="0" applyFont="1" applyFill="1" applyBorder="1" applyAlignment="1">
      <alignment horizontal="left" vertical="center"/>
    </xf>
    <xf numFmtId="0" fontId="0" fillId="0" borderId="30" xfId="0" applyBorder="1"/>
    <xf numFmtId="0" fontId="12" fillId="3" borderId="3" xfId="0" applyFont="1" applyFill="1" applyBorder="1" applyAlignment="1">
      <alignment horizontal="left"/>
    </xf>
    <xf numFmtId="0" fontId="7" fillId="2" borderId="10" xfId="0" applyFont="1" applyFill="1" applyBorder="1"/>
  </cellXfs>
  <cellStyles count="9">
    <cellStyle name="Currency 2" xfId="8" xr:uid="{00000000-0005-0000-0000-000008000000}"/>
    <cellStyle name="Followed Hyperlink" xfId="3" builtinId="9" hidden="1"/>
    <cellStyle name="Hyperlink" xfId="2" builtinId="8" hidden="1"/>
    <cellStyle name="Normal" xfId="0" builtinId="0"/>
    <cellStyle name="Normal 2" xfId="4" xr:uid="{00000000-0005-0000-0000-000004000000}"/>
    <cellStyle name="Normal 3" xfId="6" xr:uid="{00000000-0005-0000-0000-000006000000}"/>
    <cellStyle name="Percent" xfId="1" builtinId="5"/>
    <cellStyle name="Percent 2" xfId="5" xr:uid="{00000000-0005-0000-0000-000005000000}"/>
    <cellStyle name="Percent 3" xfId="7" xr:uid="{00000000-0005-0000-0000-000007000000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c:rich>
      </c:tx>
      <c:layout>
        <c:manualLayout>
          <c:xMode val="edge"/>
          <c:yMode val="edge"/>
          <c:x val="0.35969409797226748"/>
          <c:y val="4.1025577685142298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096945686773591"/>
          <c:y val="0.18461596246482631"/>
          <c:w val="0.85076583598597777"/>
          <c:h val="0.55897610857405799"/>
        </c:manualLayout>
      </c:layout>
      <c:lineChart>
        <c:grouping val="standard"/>
        <c:varyColors val="0"/>
        <c:ser>
          <c:idx val="0"/>
          <c:order val="0"/>
          <c:tx>
            <c:v>Cash Flow (Projected)</c:v>
          </c:tx>
          <c:spPr>
            <a:ln w="12700">
              <a:solidFill>
                <a:srgbClr val="63AAFE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c:spPr>
          </c:marker>
          <c:val>
            <c:numRef>
              <c:f>('VMI (20y)'!$F$29:$O$29,'VMI (20y)'!$F$34:$O$34)</c:f>
              <c:numCache>
                <c:formatCode>"$"#,##0.00</c:formatCode>
                <c:ptCount val="20"/>
                <c:pt idx="0">
                  <c:v>121754.87</c:v>
                </c:pt>
                <c:pt idx="1">
                  <c:v>132347.54368999999</c:v>
                </c:pt>
                <c:pt idx="2">
                  <c:v>143861.77999102999</c:v>
                </c:pt>
                <c:pt idx="3">
                  <c:v>156377.75485024959</c:v>
                </c:pt>
                <c:pt idx="4">
                  <c:v>169982.6195222213</c:v>
                </c:pt>
                <c:pt idx="5">
                  <c:v>177376.86347143794</c:v>
                </c:pt>
                <c:pt idx="6">
                  <c:v>185092.75703244552</c:v>
                </c:pt>
                <c:pt idx="7">
                  <c:v>193144.29196335693</c:v>
                </c:pt>
                <c:pt idx="8">
                  <c:v>201546.06866376297</c:v>
                </c:pt>
                <c:pt idx="9">
                  <c:v>210313.32265063669</c:v>
                </c:pt>
                <c:pt idx="10">
                  <c:v>219104.41953743331</c:v>
                </c:pt>
                <c:pt idx="11">
                  <c:v>228262.98427409804</c:v>
                </c:pt>
                <c:pt idx="12">
                  <c:v>237804.37701675534</c:v>
                </c:pt>
                <c:pt idx="13">
                  <c:v>247744.59997605573</c:v>
                </c:pt>
                <c:pt idx="14">
                  <c:v>258100.32425505487</c:v>
                </c:pt>
                <c:pt idx="15">
                  <c:v>268888.91780891619</c:v>
                </c:pt>
                <c:pt idx="16">
                  <c:v>280128.47457332892</c:v>
                </c:pt>
                <c:pt idx="17">
                  <c:v>291837.84481049411</c:v>
                </c:pt>
                <c:pt idx="18">
                  <c:v>304036.66672357277</c:v>
                </c:pt>
                <c:pt idx="19">
                  <c:v>316745.3993926181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6-4EDF-832B-D9F381245DF2}"/>
            </c:ext>
          </c:extLst>
        </c:ser>
        <c:ser>
          <c:idx val="1"/>
          <c:order val="1"/>
          <c:tx>
            <c:v>Cash Flow (Discounted)</c:v>
          </c:tx>
          <c:spPr>
            <a:ln w="12700">
              <a:solidFill>
                <a:srgbClr val="DD2D3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c:spPr>
          </c:marker>
          <c:val>
            <c:numRef>
              <c:f>('VMI (20y)'!$F$31:$O$31,'VMI (20y)'!$F$36:$O$36)</c:f>
              <c:numCache>
                <c:formatCode>"$"#,##0.00</c:formatCode>
                <c:ptCount val="20"/>
                <c:pt idx="0">
                  <c:v>114544.13352404757</c:v>
                </c:pt>
                <c:pt idx="1">
                  <c:v>117135.59972122881</c:v>
                </c:pt>
                <c:pt idx="2">
                  <c:v>119785.6956958113</c:v>
                </c:pt>
                <c:pt idx="3">
                  <c:v>122495.74789797286</c:v>
                </c:pt>
                <c:pt idx="4">
                  <c:v>125267.11278772853</c:v>
                </c:pt>
                <c:pt idx="5">
                  <c:v>122974.7734459356</c:v>
                </c:pt>
                <c:pt idx="6">
                  <c:v>120724.38302066983</c:v>
                </c:pt>
                <c:pt idx="7">
                  <c:v>118515.17386310817</c:v>
                </c:pt>
                <c:pt idx="8">
                  <c:v>116346.39237210178</c:v>
                </c:pt>
                <c:pt idx="9">
                  <c:v>114217.29873710925</c:v>
                </c:pt>
                <c:pt idx="10">
                  <c:v>111944.49664906702</c:v>
                </c:pt>
                <c:pt idx="11">
                  <c:v>109716.92089178665</c:v>
                </c:pt>
                <c:pt idx="12">
                  <c:v>107533.67150965608</c:v>
                </c:pt>
                <c:pt idx="13">
                  <c:v>105393.86645521746</c:v>
                </c:pt>
                <c:pt idx="14">
                  <c:v>103296.64123281397</c:v>
                </c:pt>
                <c:pt idx="15">
                  <c:v>101241.14854932774</c:v>
                </c:pt>
                <c:pt idx="16">
                  <c:v>99226.55797186782</c:v>
                </c:pt>
                <c:pt idx="17">
                  <c:v>97252.055592269608</c:v>
                </c:pt>
                <c:pt idx="18">
                  <c:v>95316.843698270444</c:v>
                </c:pt>
                <c:pt idx="19">
                  <c:v>93420.140451228595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66-4EDF-832B-D9F381245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49792"/>
        <c:axId val="97665024"/>
      </c:lineChart>
      <c:catAx>
        <c:axId val="9764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1785752444661159"/>
              <c:y val="0.86154124852040703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65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7665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c:rich>
          </c:tx>
          <c:layout>
            <c:manualLayout>
              <c:xMode val="edge"/>
              <c:yMode val="edge"/>
              <c:x val="2.4234664251039401E-2"/>
              <c:y val="0.3743601461582015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\$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49792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3.0803050939117978E-3"/>
          <c:y val="0.852398396243635"/>
          <c:w val="0.18477814333358711"/>
          <c:h val="0.12839074803149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>
        <a:lumMod val="75000"/>
      </a:schemeClr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c:rich>
      </c:tx>
      <c:layout>
        <c:manualLayout>
          <c:xMode val="edge"/>
          <c:yMode val="edge"/>
          <c:x val="0.3984133926669442"/>
          <c:y val="2.5400672572178481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096945686773591"/>
          <c:y val="0.1846159624648262"/>
          <c:w val="0.85076583598597755"/>
          <c:h val="0.55897610857405799"/>
        </c:manualLayout>
      </c:layout>
      <c:lineChart>
        <c:grouping val="standard"/>
        <c:varyColors val="0"/>
        <c:ser>
          <c:idx val="0"/>
          <c:order val="0"/>
          <c:tx>
            <c:v>Cash Flow (Projected)</c:v>
          </c:tx>
          <c:spPr>
            <a:ln w="12700">
              <a:solidFill>
                <a:srgbClr val="63AAFE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c:spPr>
          </c:marker>
          <c:val>
            <c:numRef>
              <c:f>'VMI (10y)'!$F$29:$O$29</c:f>
              <c:numCache>
                <c:formatCode>"$"#,##0.00</c:formatCode>
                <c:ptCount val="10"/>
                <c:pt idx="0">
                  <c:v>119717.04898424818</c:v>
                </c:pt>
                <c:pt idx="1">
                  <c:v>127954.39529949895</c:v>
                </c:pt>
                <c:pt idx="2">
                  <c:v>136758.52700491002</c:v>
                </c:pt>
                <c:pt idx="3">
                  <c:v>146168.44278600518</c:v>
                </c:pt>
                <c:pt idx="4">
                  <c:v>156225.82470282528</c:v>
                </c:pt>
                <c:pt idx="5">
                  <c:v>161600.52376357542</c:v>
                </c:pt>
                <c:pt idx="6">
                  <c:v>167160.13072958754</c:v>
                </c:pt>
                <c:pt idx="7">
                  <c:v>172911.00706092519</c:v>
                </c:pt>
                <c:pt idx="8">
                  <c:v>178859.73307348762</c:v>
                </c:pt>
                <c:pt idx="9">
                  <c:v>185013.11546839398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0B-49CD-9D1B-890C30882B5E}"/>
            </c:ext>
          </c:extLst>
        </c:ser>
        <c:ser>
          <c:idx val="1"/>
          <c:order val="1"/>
          <c:tx>
            <c:v>Cash Flow (Discounted)</c:v>
          </c:tx>
          <c:spPr>
            <a:ln w="12700">
              <a:solidFill>
                <a:srgbClr val="DD2D3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c:spPr>
          </c:marker>
          <c:val>
            <c:numRef>
              <c:f>'VMI (10y)'!$F$31:$O$31</c:f>
              <c:numCache>
                <c:formatCode>"$"#,##0.00</c:formatCode>
                <c:ptCount val="10"/>
                <c:pt idx="0">
                  <c:v>112626.99918251047</c:v>
                </c:pt>
                <c:pt idx="1">
                  <c:v>113247.39706148747</c:v>
                </c:pt>
                <c:pt idx="2">
                  <c:v>113871.21235841076</c:v>
                </c:pt>
                <c:pt idx="3">
                  <c:v>114498.46389788593</c:v>
                </c:pt>
                <c:pt idx="4">
                  <c:v>115129.17060821269</c:v>
                </c:pt>
                <c:pt idx="5">
                  <c:v>112037.09102551715</c:v>
                </c:pt>
                <c:pt idx="6">
                  <c:v>109028.05691335883</c:v>
                </c:pt>
                <c:pt idx="7">
                  <c:v>106099.8378795398</c:v>
                </c:pt>
                <c:pt idx="8">
                  <c:v>103250.26343457952</c:v>
                </c:pt>
                <c:pt idx="9">
                  <c:v>100477.22138287881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0B-49CD-9D1B-890C30882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73472"/>
        <c:axId val="98480128"/>
      </c:lineChart>
      <c:catAx>
        <c:axId val="9847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9005904046059762"/>
              <c:y val="0.87123836793128129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480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8480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c:rich>
          </c:tx>
          <c:layout>
            <c:manualLayout>
              <c:xMode val="edge"/>
              <c:yMode val="edge"/>
              <c:x val="2.1256285629970121E-2"/>
              <c:y val="0.4034512049630160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\$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473472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2.7458766758050139E-3"/>
          <c:y val="0.85681557125053243"/>
          <c:w val="0.18359738656442001"/>
          <c:h val="0.1253075334576720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>
        <a:lumMod val="75000"/>
      </a:schemeClr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857249</xdr:colOff>
      <xdr:row>37</xdr:row>
      <xdr:rowOff>28575</xdr:rowOff>
    </xdr:from>
    <xdr:to>
      <xdr:col>15</xdr:col>
      <xdr:colOff>41640</xdr:colOff>
      <xdr:row>53</xdr:row>
      <xdr:rowOff>60489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400050</xdr:colOff>
      <xdr:row>90</xdr:row>
      <xdr:rowOff>32445</xdr:rowOff>
    </xdr:from>
    <xdr:to>
      <xdr:col>15</xdr:col>
      <xdr:colOff>257175</xdr:colOff>
      <xdr:row>92</xdr:row>
      <xdr:rowOff>148322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54050" y="17764185"/>
          <a:ext cx="1975485" cy="43591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866775</xdr:colOff>
      <xdr:row>32</xdr:row>
      <xdr:rowOff>28574</xdr:rowOff>
    </xdr:from>
    <xdr:to>
      <xdr:col>15</xdr:col>
      <xdr:colOff>47625</xdr:colOff>
      <xdr:row>48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400050</xdr:colOff>
      <xdr:row>85</xdr:row>
      <xdr:rowOff>32445</xdr:rowOff>
    </xdr:from>
    <xdr:to>
      <xdr:col>15</xdr:col>
      <xdr:colOff>257175</xdr:colOff>
      <xdr:row>87</xdr:row>
      <xdr:rowOff>148322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54050" y="16765965"/>
          <a:ext cx="1975485" cy="43591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market-risk-premia.com/hk.html" TargetMode="External"/><Relationship Id="rId1" Type="http://schemas.openxmlformats.org/officeDocument/2006/relationships/hyperlink" Target="http://www.market-risk-premia.com/us.html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market-risk-premia.com/hk.html" TargetMode="External"/><Relationship Id="rId1" Type="http://schemas.openxmlformats.org/officeDocument/2006/relationships/hyperlink" Target="http://www.market-risk-premia.com/us.html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5"/>
  <sheetViews>
    <sheetView tabSelected="1" topLeftCell="A3" zoomScaleNormal="100" zoomScaleSheetLayoutView="394" workbookViewId="0">
      <selection activeCell="I22" sqref="I22"/>
    </sheetView>
  </sheetViews>
  <sheetFormatPr defaultColWidth="8.625" defaultRowHeight="12.75" x14ac:dyDescent="0.2"/>
  <cols>
    <col min="1" max="1" width="1.125" style="177" customWidth="1"/>
    <col min="2" max="2" width="11.5" style="177" customWidth="1"/>
    <col min="3" max="8" width="12.625" style="177" customWidth="1"/>
    <col min="9" max="9" width="15.625" style="177" customWidth="1"/>
    <col min="10" max="15" width="12.625" style="177" customWidth="1"/>
    <col min="16" max="16" width="3.625" style="177" customWidth="1"/>
    <col min="17" max="17" width="9.625" style="177" customWidth="1"/>
    <col min="18" max="19" width="8.625" style="177" customWidth="1"/>
    <col min="20" max="20" width="9.125" style="177" customWidth="1"/>
    <col min="21" max="21" width="3.125" style="177" customWidth="1"/>
    <col min="22" max="22" width="1.875" style="177" customWidth="1"/>
    <col min="23" max="28" width="8.625" style="177" customWidth="1"/>
    <col min="29" max="29" width="0" style="177" hidden="1"/>
    <col min="30" max="30" width="27.5" style="177" hidden="1" customWidth="1"/>
    <col min="31" max="31" width="10.75" style="177" hidden="1" customWidth="1"/>
    <col min="32" max="32" width="29.75" style="177" hidden="1" customWidth="1"/>
    <col min="33" max="33" width="30.875" style="177" hidden="1" customWidth="1"/>
    <col min="34" max="34" width="29" style="177" hidden="1" customWidth="1"/>
    <col min="35" max="35" width="27.75" style="177" hidden="1" customWidth="1"/>
    <col min="36" max="36" width="31.875" style="177" hidden="1" customWidth="1"/>
    <col min="37" max="37" width="0" style="177" hidden="1"/>
    <col min="38" max="38" width="8.625" style="177" customWidth="1"/>
    <col min="39" max="16384" width="8.625" style="177"/>
  </cols>
  <sheetData>
    <row r="1" spans="1:36" ht="7.5" customHeight="1" thickBot="1" x14ac:dyDescent="0.35">
      <c r="A1" s="112"/>
      <c r="B1" s="112"/>
      <c r="C1" s="58"/>
      <c r="D1" s="58"/>
      <c r="E1" s="58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12"/>
      <c r="U1" s="112"/>
      <c r="V1" s="112"/>
    </row>
    <row r="2" spans="1:36" ht="41.25" customHeight="1" x14ac:dyDescent="0.4">
      <c r="A2" s="112"/>
      <c r="B2" s="232" t="str">
        <f>"Intrinsic Value Calculator ("&amp;VLOOKUP(C12,AD6:AJ8,6,FALSE)&amp;" 20 years)"</f>
        <v>Intrinsic Value Calculator (Discounted Net Income Method 20 years)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4"/>
      <c r="V2" s="112"/>
    </row>
    <row r="3" spans="1:36" ht="41.25" customHeight="1" x14ac:dyDescent="0.2">
      <c r="A3" s="112"/>
      <c r="B3" s="221" t="s">
        <v>0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3"/>
      <c r="V3" s="112"/>
    </row>
    <row r="4" spans="1:36" ht="5.25" customHeight="1" thickBot="1" x14ac:dyDescent="0.25">
      <c r="A4" s="112"/>
      <c r="B4" s="53"/>
      <c r="C4" s="54"/>
      <c r="D4" s="54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4"/>
      <c r="U4" s="56"/>
      <c r="V4" s="112"/>
    </row>
    <row r="5" spans="1:36" ht="11.25" customHeight="1" x14ac:dyDescent="0.2">
      <c r="A5" s="112"/>
      <c r="B5" s="60"/>
      <c r="C5" s="61"/>
      <c r="D5" s="61"/>
      <c r="E5" s="61"/>
      <c r="F5" s="62"/>
      <c r="G5" s="62"/>
      <c r="H5" s="62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65"/>
      <c r="V5" s="112"/>
    </row>
    <row r="6" spans="1:36" ht="30.95" customHeight="1" x14ac:dyDescent="0.3">
      <c r="A6" s="112"/>
      <c r="B6" s="60"/>
      <c r="C6" s="110" t="s">
        <v>1</v>
      </c>
      <c r="D6" s="66"/>
      <c r="E6" s="66"/>
      <c r="F6" s="67"/>
      <c r="G6" s="67"/>
      <c r="H6" s="68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1"/>
      <c r="U6" s="65"/>
      <c r="V6" s="112"/>
      <c r="AD6" s="177" t="s">
        <v>2</v>
      </c>
      <c r="AE6" s="177" t="s">
        <v>3</v>
      </c>
      <c r="AF6" s="177" t="s">
        <v>4</v>
      </c>
      <c r="AG6" s="177" t="s">
        <v>5</v>
      </c>
      <c r="AH6" s="177" t="s">
        <v>6</v>
      </c>
      <c r="AI6" s="177" t="s">
        <v>7</v>
      </c>
      <c r="AJ6" s="177" t="s">
        <v>8</v>
      </c>
    </row>
    <row r="7" spans="1:36" ht="8.1" customHeight="1" x14ac:dyDescent="0.2">
      <c r="A7" s="112"/>
      <c r="B7" s="60"/>
      <c r="C7" s="70"/>
      <c r="D7" s="70"/>
      <c r="E7" s="70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1"/>
      <c r="U7" s="65"/>
      <c r="V7" s="112"/>
      <c r="AD7" s="177" t="s">
        <v>9</v>
      </c>
      <c r="AE7" s="177" t="s">
        <v>10</v>
      </c>
      <c r="AF7" s="177" t="s">
        <v>11</v>
      </c>
      <c r="AG7" s="177" t="s">
        <v>12</v>
      </c>
      <c r="AH7" s="177" t="s">
        <v>13</v>
      </c>
      <c r="AI7" s="177" t="s">
        <v>14</v>
      </c>
      <c r="AJ7" s="177" t="s">
        <v>15</v>
      </c>
    </row>
    <row r="8" spans="1:36" ht="24.95" customHeight="1" x14ac:dyDescent="0.2">
      <c r="A8" s="112"/>
      <c r="B8" s="60"/>
      <c r="C8" s="89" t="s">
        <v>16</v>
      </c>
      <c r="D8" s="90"/>
      <c r="E8" s="91"/>
      <c r="F8" s="219" t="s">
        <v>17</v>
      </c>
      <c r="G8" s="215"/>
      <c r="H8" s="216"/>
      <c r="I8" s="71"/>
      <c r="J8" s="95" t="str">
        <f>"PV of 20 yr "&amp;VLOOKUP(C12,AD6:AJ8,2,FALSE)</f>
        <v>PV of 20 yr Net Income</v>
      </c>
      <c r="K8" s="83"/>
      <c r="L8" s="83"/>
      <c r="M8" s="210" t="str">
        <f>$S$8</f>
        <v>USD$</v>
      </c>
      <c r="N8" s="236">
        <f>SUM(F31:P31)+SUM(F36:O36)</f>
        <v>2216348.6540672188</v>
      </c>
      <c r="O8" s="216"/>
      <c r="P8" s="69"/>
      <c r="Q8" s="225" t="s">
        <v>18</v>
      </c>
      <c r="R8" s="216"/>
      <c r="S8" s="188" t="s">
        <v>19</v>
      </c>
      <c r="T8" s="61"/>
      <c r="U8" s="65"/>
      <c r="V8" s="112"/>
      <c r="AD8" s="177" t="s">
        <v>20</v>
      </c>
      <c r="AE8" s="177" t="s">
        <v>21</v>
      </c>
      <c r="AF8" s="177" t="s">
        <v>22</v>
      </c>
      <c r="AG8" s="177" t="s">
        <v>23</v>
      </c>
      <c r="AH8" s="177" t="s">
        <v>24</v>
      </c>
      <c r="AI8" s="177" t="s">
        <v>25</v>
      </c>
      <c r="AJ8" s="177" t="s">
        <v>26</v>
      </c>
    </row>
    <row r="9" spans="1:36" ht="3.95" customHeight="1" x14ac:dyDescent="0.2">
      <c r="A9" s="112"/>
      <c r="B9" s="60"/>
      <c r="C9" s="160"/>
      <c r="D9" s="160"/>
      <c r="E9" s="160"/>
      <c r="F9" s="190"/>
      <c r="G9" s="190"/>
      <c r="H9" s="187"/>
      <c r="I9" s="69"/>
      <c r="J9" s="93"/>
      <c r="K9" s="69"/>
      <c r="L9" s="69"/>
      <c r="M9" s="202"/>
      <c r="N9" s="203"/>
      <c r="O9" s="203"/>
      <c r="P9" s="69"/>
      <c r="Q9" s="187"/>
      <c r="R9" s="187"/>
      <c r="S9" s="187"/>
      <c r="T9" s="61"/>
      <c r="U9" s="65"/>
      <c r="V9" s="112"/>
    </row>
    <row r="10" spans="1:36" ht="24.95" customHeight="1" x14ac:dyDescent="0.2">
      <c r="A10" s="112"/>
      <c r="B10" s="60"/>
      <c r="C10" s="89" t="s">
        <v>27</v>
      </c>
      <c r="D10" s="90"/>
      <c r="E10" s="90"/>
      <c r="F10" s="239" t="s">
        <v>28</v>
      </c>
      <c r="G10" s="215"/>
      <c r="H10" s="216"/>
      <c r="I10" s="69"/>
      <c r="J10" s="89" t="s">
        <v>29</v>
      </c>
      <c r="K10" s="83"/>
      <c r="L10" s="83"/>
      <c r="M10" s="210" t="str">
        <f>$S$8</f>
        <v>USD$</v>
      </c>
      <c r="N10" s="227">
        <f>IF(F26&lt;&gt;0,N8/F26,0)</f>
        <v>150.90181337384473</v>
      </c>
      <c r="O10" s="216"/>
      <c r="P10" s="69"/>
      <c r="Q10" s="225" t="s">
        <v>30</v>
      </c>
      <c r="R10" s="216"/>
      <c r="S10" s="188" t="s">
        <v>19</v>
      </c>
      <c r="T10" s="61"/>
      <c r="U10" s="65"/>
      <c r="V10" s="112"/>
    </row>
    <row r="11" spans="1:36" ht="3.95" customHeight="1" x14ac:dyDescent="0.2">
      <c r="A11" s="112"/>
      <c r="B11" s="60"/>
      <c r="C11" s="93"/>
      <c r="D11" s="93"/>
      <c r="E11" s="93"/>
      <c r="F11" s="76"/>
      <c r="G11" s="76"/>
      <c r="H11" s="75"/>
      <c r="I11" s="61"/>
      <c r="J11" s="96"/>
      <c r="K11" s="61"/>
      <c r="L11" s="61"/>
      <c r="M11" s="202"/>
      <c r="N11" s="204"/>
      <c r="O11" s="204"/>
      <c r="P11" s="61"/>
      <c r="Q11" s="75"/>
      <c r="R11" s="75"/>
      <c r="S11" s="75"/>
      <c r="T11" s="61"/>
      <c r="U11" s="65"/>
      <c r="V11" s="112"/>
    </row>
    <row r="12" spans="1:36" ht="24.95" customHeight="1" x14ac:dyDescent="0.2">
      <c r="A12" s="112"/>
      <c r="B12" s="74" t="s">
        <v>31</v>
      </c>
      <c r="C12" s="224" t="s">
        <v>9</v>
      </c>
      <c r="D12" s="215"/>
      <c r="E12" s="216"/>
      <c r="F12" s="191" t="str">
        <f>S8</f>
        <v>USD$</v>
      </c>
      <c r="G12" s="217">
        <v>112010</v>
      </c>
      <c r="H12" s="216"/>
      <c r="I12" s="61"/>
      <c r="J12" s="89" t="s">
        <v>32</v>
      </c>
      <c r="K12" s="83"/>
      <c r="L12" s="83"/>
      <c r="M12" s="210" t="str">
        <f>$S$8</f>
        <v>USD$</v>
      </c>
      <c r="N12" s="227">
        <f>IF(F26&lt;&gt;0,G14/F26,0)</f>
        <v>5.7676139939686895</v>
      </c>
      <c r="O12" s="216"/>
      <c r="P12" s="61"/>
      <c r="Q12" s="61"/>
      <c r="R12" s="61"/>
      <c r="S12" s="61"/>
      <c r="T12" s="61"/>
      <c r="U12" s="65"/>
      <c r="V12" s="112"/>
    </row>
    <row r="13" spans="1:36" ht="3.95" customHeight="1" x14ac:dyDescent="0.2">
      <c r="A13" s="112"/>
      <c r="B13" s="60"/>
      <c r="C13" s="161"/>
      <c r="D13" s="161"/>
      <c r="E13" s="161"/>
      <c r="F13" s="76"/>
      <c r="G13" s="208"/>
      <c r="H13" s="209"/>
      <c r="I13" s="61"/>
      <c r="J13" s="96"/>
      <c r="K13" s="73"/>
      <c r="L13" s="73"/>
      <c r="M13" s="202"/>
      <c r="N13" s="204"/>
      <c r="O13" s="204"/>
      <c r="P13" s="61"/>
      <c r="Q13" s="61"/>
      <c r="R13" s="61"/>
      <c r="S13" s="61"/>
      <c r="T13" s="61"/>
      <c r="U13" s="65"/>
      <c r="V13" s="112"/>
    </row>
    <row r="14" spans="1:36" ht="24.95" customHeight="1" x14ac:dyDescent="0.2">
      <c r="A14" s="112"/>
      <c r="B14" s="74" t="s">
        <v>31</v>
      </c>
      <c r="C14" s="89" t="s">
        <v>33</v>
      </c>
      <c r="D14" s="90"/>
      <c r="E14" s="91"/>
      <c r="F14" s="191" t="str">
        <f>S8</f>
        <v>USD$</v>
      </c>
      <c r="G14" s="217">
        <v>84711</v>
      </c>
      <c r="H14" s="216"/>
      <c r="I14" s="61"/>
      <c r="J14" s="89" t="s">
        <v>34</v>
      </c>
      <c r="K14" s="83"/>
      <c r="L14" s="83"/>
      <c r="M14" s="210" t="str">
        <f>$S$8</f>
        <v>USD$</v>
      </c>
      <c r="N14" s="227">
        <f>IF(F26&lt;&gt;0,G16/F26,0)</f>
        <v>4.6643521134777428</v>
      </c>
      <c r="O14" s="216"/>
      <c r="P14" s="61"/>
      <c r="Q14" s="61"/>
      <c r="R14" s="61"/>
      <c r="S14" s="61"/>
      <c r="T14" s="61"/>
      <c r="U14" s="65"/>
      <c r="V14" s="112"/>
    </row>
    <row r="15" spans="1:36" ht="3.95" customHeight="1" x14ac:dyDescent="0.2">
      <c r="A15" s="112"/>
      <c r="B15" s="60"/>
      <c r="C15" s="161"/>
      <c r="D15" s="161"/>
      <c r="E15" s="161"/>
      <c r="F15" s="76"/>
      <c r="G15" s="208"/>
      <c r="H15" s="209"/>
      <c r="I15" s="61"/>
      <c r="J15" s="96"/>
      <c r="K15" s="73"/>
      <c r="L15" s="73"/>
      <c r="M15" s="202"/>
      <c r="N15" s="204"/>
      <c r="O15" s="204"/>
      <c r="P15" s="61"/>
      <c r="Q15" s="61"/>
      <c r="R15" s="61"/>
      <c r="S15" s="61"/>
      <c r="T15" s="61"/>
      <c r="U15" s="65"/>
      <c r="V15" s="112"/>
    </row>
    <row r="16" spans="1:36" ht="24.95" customHeight="1" x14ac:dyDescent="0.2">
      <c r="A16" s="112"/>
      <c r="B16" s="74" t="s">
        <v>31</v>
      </c>
      <c r="C16" s="89" t="s">
        <v>35</v>
      </c>
      <c r="D16" s="90"/>
      <c r="E16" s="91"/>
      <c r="F16" s="191" t="str">
        <f>S8</f>
        <v>USD$</v>
      </c>
      <c r="G16" s="217">
        <v>68507</v>
      </c>
      <c r="H16" s="216"/>
      <c r="I16" s="61"/>
      <c r="J16" s="226" t="s">
        <v>36</v>
      </c>
      <c r="K16" s="215"/>
      <c r="L16" s="215"/>
      <c r="M16" s="211" t="str">
        <f>$S$8</f>
        <v>USD$</v>
      </c>
      <c r="N16" s="218">
        <f>N10-N12+N14</f>
        <v>149.79855149335378</v>
      </c>
      <c r="O16" s="216"/>
      <c r="P16" s="61"/>
      <c r="Q16" s="205" t="str">
        <f>"1 "&amp;S8&amp;" = "</f>
        <v xml:space="preserve">1 USD$ = </v>
      </c>
      <c r="R16" s="195">
        <v>1</v>
      </c>
      <c r="S16" s="193" t="str">
        <f>S10</f>
        <v>USD$</v>
      </c>
      <c r="T16" s="61"/>
      <c r="U16" s="65"/>
      <c r="V16" s="112"/>
    </row>
    <row r="17" spans="1:22" ht="3.95" customHeight="1" x14ac:dyDescent="0.2">
      <c r="A17" s="112"/>
      <c r="B17" s="60"/>
      <c r="C17" s="161"/>
      <c r="D17" s="161"/>
      <c r="E17" s="161"/>
      <c r="F17" s="76"/>
      <c r="G17" s="76"/>
      <c r="H17" s="75"/>
      <c r="I17" s="61"/>
      <c r="J17" s="189"/>
      <c r="K17" s="189"/>
      <c r="L17" s="189"/>
      <c r="M17" s="202"/>
      <c r="N17" s="204"/>
      <c r="O17" s="204"/>
      <c r="P17" s="61"/>
      <c r="Q17" s="61"/>
      <c r="R17" s="61"/>
      <c r="S17" s="61"/>
      <c r="T17" s="61"/>
      <c r="U17" s="65"/>
      <c r="V17" s="112"/>
    </row>
    <row r="18" spans="1:22" ht="24.95" customHeight="1" x14ac:dyDescent="0.2">
      <c r="A18" s="112"/>
      <c r="B18" s="213" t="s">
        <v>37</v>
      </c>
      <c r="C18" s="89" t="str">
        <f>VLOOKUP(C12,AD6:AJ8,3,FALSE)</f>
        <v>Net Income Growth Rate (Yr 1 - 5)</v>
      </c>
      <c r="D18" s="90"/>
      <c r="E18" s="91"/>
      <c r="F18" s="214">
        <v>8.6999999999999994E-2</v>
      </c>
      <c r="G18" s="215"/>
      <c r="H18" s="216"/>
      <c r="I18" s="61"/>
      <c r="J18" s="226" t="s">
        <v>38</v>
      </c>
      <c r="K18" s="215"/>
      <c r="L18" s="215"/>
      <c r="M18" s="206" t="str">
        <f>$S$10</f>
        <v>USD$</v>
      </c>
      <c r="N18" s="231">
        <f>N16*R16</f>
        <v>149.79855149335378</v>
      </c>
      <c r="O18" s="216"/>
      <c r="P18" s="61"/>
      <c r="Q18" s="61"/>
      <c r="R18" s="61"/>
      <c r="S18" s="61"/>
      <c r="T18" s="61"/>
      <c r="U18" s="65"/>
      <c r="V18" s="112"/>
    </row>
    <row r="19" spans="1:22" ht="3.95" customHeight="1" x14ac:dyDescent="0.2">
      <c r="A19" s="112"/>
      <c r="B19" s="60"/>
      <c r="C19" s="161"/>
      <c r="D19" s="161"/>
      <c r="E19" s="161"/>
      <c r="F19" s="76"/>
      <c r="G19" s="76"/>
      <c r="H19" s="75"/>
      <c r="I19" s="72"/>
      <c r="J19" s="189"/>
      <c r="K19" s="189"/>
      <c r="L19" s="189"/>
      <c r="M19" s="189"/>
      <c r="N19" s="189"/>
      <c r="O19" s="189"/>
      <c r="P19" s="61"/>
      <c r="Q19" s="61"/>
      <c r="R19" s="61"/>
      <c r="S19" s="61"/>
      <c r="T19" s="61"/>
      <c r="U19" s="65"/>
      <c r="V19" s="112"/>
    </row>
    <row r="20" spans="1:22" ht="24.95" customHeight="1" x14ac:dyDescent="0.2">
      <c r="A20" s="112"/>
      <c r="B20" s="213" t="s">
        <v>31</v>
      </c>
      <c r="C20" s="89" t="str">
        <f>VLOOKUP(C12,AD6:AJ8,4,FALSE)</f>
        <v>Net Income Growth Rate (Yr 6 - 10)</v>
      </c>
      <c r="D20" s="90"/>
      <c r="E20" s="91"/>
      <c r="F20" s="214">
        <v>4.3499999999999997E-2</v>
      </c>
      <c r="G20" s="215"/>
      <c r="H20" s="216"/>
      <c r="I20" s="72"/>
      <c r="J20" s="89" t="s">
        <v>39</v>
      </c>
      <c r="K20" s="84"/>
      <c r="L20" s="85"/>
      <c r="M20" s="228">
        <f>M22/N18-1</f>
        <v>1.1049603229188021</v>
      </c>
      <c r="N20" s="216"/>
      <c r="O20" s="61"/>
      <c r="P20" s="61"/>
      <c r="Q20" s="61"/>
      <c r="R20" s="61"/>
      <c r="S20" s="61"/>
      <c r="T20" s="61"/>
      <c r="U20" s="65"/>
      <c r="V20" s="112"/>
    </row>
    <row r="21" spans="1:22" ht="3.95" customHeight="1" x14ac:dyDescent="0.2">
      <c r="A21" s="112"/>
      <c r="B21" s="60"/>
      <c r="C21" s="162"/>
      <c r="D21" s="162"/>
      <c r="E21" s="162"/>
      <c r="F21" s="75"/>
      <c r="G21" s="75"/>
      <c r="H21" s="75"/>
      <c r="I21" s="61"/>
      <c r="J21" s="189"/>
      <c r="K21" s="189"/>
      <c r="L21" s="189"/>
      <c r="M21" s="189"/>
      <c r="N21" s="189"/>
      <c r="O21" s="189"/>
      <c r="P21" s="61"/>
      <c r="Q21" s="61"/>
      <c r="R21" s="61"/>
      <c r="S21" s="61"/>
      <c r="T21" s="61"/>
      <c r="U21" s="65"/>
      <c r="V21" s="112"/>
    </row>
    <row r="22" spans="1:22" ht="24.95" customHeight="1" x14ac:dyDescent="0.2">
      <c r="A22" s="112"/>
      <c r="B22" s="213" t="s">
        <v>31</v>
      </c>
      <c r="C22" s="89" t="str">
        <f>VLOOKUP(C12,AD6:AJ8,7,FALSE)</f>
        <v>Net Income Growth Rate (Yr 11 - 20)</v>
      </c>
      <c r="D22" s="90"/>
      <c r="E22" s="91"/>
      <c r="F22" s="214">
        <v>4.1799999999999997E-2</v>
      </c>
      <c r="G22" s="215"/>
      <c r="H22" s="216"/>
      <c r="I22" s="61"/>
      <c r="J22" s="89" t="s">
        <v>40</v>
      </c>
      <c r="K22" s="97"/>
      <c r="L22" s="194" t="str">
        <f>$S$10</f>
        <v>USD$</v>
      </c>
      <c r="M22" s="235">
        <v>315.32000732421881</v>
      </c>
      <c r="N22" s="216"/>
      <c r="O22" s="61"/>
      <c r="P22" s="61"/>
      <c r="Q22" s="61"/>
      <c r="R22" s="61"/>
      <c r="S22" s="61"/>
      <c r="T22" s="61"/>
      <c r="U22" s="65"/>
      <c r="V22" s="112"/>
    </row>
    <row r="23" spans="1:22" ht="3.75" customHeight="1" x14ac:dyDescent="0.2">
      <c r="A23" s="112"/>
      <c r="B23" s="60"/>
      <c r="C23" s="163"/>
      <c r="D23" s="163"/>
      <c r="E23" s="163"/>
      <c r="F23" s="192"/>
      <c r="G23" s="192"/>
      <c r="H23" s="75"/>
      <c r="I23" s="61"/>
      <c r="J23" s="96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5"/>
      <c r="V23" s="112"/>
    </row>
    <row r="24" spans="1:22" ht="24.95" customHeight="1" x14ac:dyDescent="0.2">
      <c r="A24" s="112"/>
      <c r="B24" s="60"/>
      <c r="C24" s="163"/>
      <c r="D24" s="163"/>
      <c r="E24" s="163"/>
      <c r="F24" s="192"/>
      <c r="G24" s="192"/>
      <c r="H24" s="75"/>
      <c r="I24" s="61"/>
      <c r="J24" s="89" t="s">
        <v>41</v>
      </c>
      <c r="K24" s="88"/>
      <c r="L24" s="230">
        <v>2026</v>
      </c>
      <c r="M24" s="216"/>
      <c r="N24" s="82" t="s">
        <v>42</v>
      </c>
      <c r="O24" s="61"/>
      <c r="P24" s="61"/>
      <c r="Q24" s="61"/>
      <c r="R24" s="61"/>
      <c r="S24" s="61"/>
      <c r="T24" s="61"/>
      <c r="U24" s="65"/>
      <c r="V24" s="112"/>
    </row>
    <row r="25" spans="1:22" ht="3.95" customHeight="1" x14ac:dyDescent="0.2">
      <c r="A25" s="112"/>
      <c r="B25" s="60"/>
      <c r="C25" s="163"/>
      <c r="D25" s="163"/>
      <c r="E25" s="163"/>
      <c r="F25" s="192"/>
      <c r="G25" s="192"/>
      <c r="H25" s="75"/>
      <c r="I25" s="61"/>
      <c r="J25" s="92"/>
      <c r="K25" s="77"/>
      <c r="L25" s="61"/>
      <c r="M25" s="61"/>
      <c r="N25" s="61"/>
      <c r="O25" s="61"/>
      <c r="P25" s="61"/>
      <c r="Q25" s="61"/>
      <c r="R25" s="61"/>
      <c r="S25" s="61"/>
      <c r="T25" s="61"/>
      <c r="U25" s="65"/>
      <c r="V25" s="112"/>
    </row>
    <row r="26" spans="1:22" ht="24.95" customHeight="1" x14ac:dyDescent="0.2">
      <c r="A26" s="112"/>
      <c r="B26" s="213" t="s">
        <v>43</v>
      </c>
      <c r="C26" s="86" t="s">
        <v>44</v>
      </c>
      <c r="D26" s="164"/>
      <c r="E26" s="165"/>
      <c r="F26" s="220">
        <v>14687.356</v>
      </c>
      <c r="G26" s="215"/>
      <c r="H26" s="216"/>
      <c r="I26" s="61"/>
      <c r="J26" s="89" t="s">
        <v>45</v>
      </c>
      <c r="K26" s="88"/>
      <c r="L26" s="237">
        <v>6.2951599999999996E-2</v>
      </c>
      <c r="M26" s="216"/>
      <c r="N26" s="61"/>
      <c r="O26" s="61"/>
      <c r="P26" s="61"/>
      <c r="Q26" s="61"/>
      <c r="R26" s="61"/>
      <c r="S26" s="61"/>
      <c r="T26" s="61"/>
      <c r="U26" s="65"/>
      <c r="V26" s="112"/>
    </row>
    <row r="27" spans="1:22" ht="8.1" customHeight="1" x14ac:dyDescent="0.2">
      <c r="A27" s="112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5"/>
      <c r="V27" s="112"/>
    </row>
    <row r="28" spans="1:22" ht="18" customHeight="1" x14ac:dyDescent="0.2">
      <c r="A28" s="112"/>
      <c r="B28" s="60"/>
      <c r="C28" s="99" t="s">
        <v>46</v>
      </c>
      <c r="D28" s="100"/>
      <c r="E28" s="101"/>
      <c r="F28" s="102">
        <f>$L$24+1</f>
        <v>2027</v>
      </c>
      <c r="G28" s="102">
        <f>$L$24+2</f>
        <v>2028</v>
      </c>
      <c r="H28" s="102">
        <f>$L$24+3</f>
        <v>2029</v>
      </c>
      <c r="I28" s="102">
        <f>$L$24+4</f>
        <v>2030</v>
      </c>
      <c r="J28" s="102">
        <f>$L$24+5</f>
        <v>2031</v>
      </c>
      <c r="K28" s="102">
        <f>$L$24+6</f>
        <v>2032</v>
      </c>
      <c r="L28" s="102">
        <f>$L$24+7</f>
        <v>2033</v>
      </c>
      <c r="M28" s="102">
        <f>$L$24+8</f>
        <v>2034</v>
      </c>
      <c r="N28" s="102">
        <f>$L$24+9</f>
        <v>2035</v>
      </c>
      <c r="O28" s="102">
        <f>$L$24+10</f>
        <v>2036</v>
      </c>
      <c r="P28" s="61"/>
      <c r="Q28" s="61"/>
      <c r="R28" s="61"/>
      <c r="S28" s="61"/>
      <c r="T28" s="61"/>
      <c r="U28" s="65"/>
      <c r="V28" s="112"/>
    </row>
    <row r="29" spans="1:22" ht="18" customHeight="1" x14ac:dyDescent="0.2">
      <c r="A29" s="112"/>
      <c r="B29" s="60"/>
      <c r="C29" s="238" t="str">
        <f>VLOOKUP(C12,AD6:AJ8,5,FALSE)</f>
        <v>Net Income (Projected)</v>
      </c>
      <c r="D29" s="215"/>
      <c r="E29" s="216"/>
      <c r="F29" s="98">
        <f>(G12)*(1+F18)</f>
        <v>121754.87</v>
      </c>
      <c r="G29" s="98">
        <f>($F29)*(1+$F$18)</f>
        <v>132347.54368999999</v>
      </c>
      <c r="H29" s="98">
        <f>(G$29)*(1+$F$18)</f>
        <v>143861.77999102999</v>
      </c>
      <c r="I29" s="98">
        <f>(H$29)*(1+$F$18)</f>
        <v>156377.75485024959</v>
      </c>
      <c r="J29" s="98">
        <f>(I$29)*(1+$F$18)</f>
        <v>169982.6195222213</v>
      </c>
      <c r="K29" s="98">
        <f>(J$29)*(1+$F$20)</f>
        <v>177376.86347143794</v>
      </c>
      <c r="L29" s="98">
        <f>(K$29)*(1+$F$20)</f>
        <v>185092.75703244552</v>
      </c>
      <c r="M29" s="98">
        <f>(L$29)*(1+$F$20)</f>
        <v>193144.29196335693</v>
      </c>
      <c r="N29" s="98">
        <f>(M$29)*(1+$F$20)</f>
        <v>201546.06866376297</v>
      </c>
      <c r="O29" s="98">
        <f>(N$29)*(1+$F$20)</f>
        <v>210313.32265063669</v>
      </c>
      <c r="P29" s="61"/>
      <c r="Q29" s="61"/>
      <c r="R29" s="61"/>
      <c r="S29" s="61"/>
      <c r="T29" s="61"/>
      <c r="U29" s="65"/>
      <c r="V29" s="112"/>
    </row>
    <row r="30" spans="1:22" ht="18" customHeight="1" x14ac:dyDescent="0.2">
      <c r="A30" s="112"/>
      <c r="B30" s="60"/>
      <c r="C30" s="103" t="s">
        <v>47</v>
      </c>
      <c r="D30" s="104"/>
      <c r="E30" s="105"/>
      <c r="F30" s="78">
        <f>1/(1+$L$26)</f>
        <v>0.94077660732624147</v>
      </c>
      <c r="G30" s="78">
        <f t="shared" ref="G30:O30" si="0">F$30/(1+$L$26)</f>
        <v>0.88506062489227311</v>
      </c>
      <c r="H30" s="78">
        <f t="shared" si="0"/>
        <v>0.83264433196419596</v>
      </c>
      <c r="I30" s="78">
        <f t="shared" si="0"/>
        <v>0.78333230973470103</v>
      </c>
      <c r="J30" s="78">
        <f t="shared" si="0"/>
        <v>0.73694071276124062</v>
      </c>
      <c r="K30" s="78">
        <f t="shared" si="0"/>
        <v>0.69329658355210222</v>
      </c>
      <c r="L30" s="78">
        <f t="shared" si="0"/>
        <v>0.65223720774502081</v>
      </c>
      <c r="M30" s="78">
        <f t="shared" si="0"/>
        <v>0.61360950747430165</v>
      </c>
      <c r="N30" s="78">
        <f t="shared" si="0"/>
        <v>0.5772694706647995</v>
      </c>
      <c r="O30" s="78">
        <f t="shared" si="0"/>
        <v>0.54308161412504541</v>
      </c>
      <c r="P30" s="61"/>
      <c r="Q30" s="61"/>
      <c r="R30" s="61"/>
      <c r="S30" s="61"/>
      <c r="T30" s="61"/>
      <c r="U30" s="65"/>
      <c r="V30" s="112"/>
    </row>
    <row r="31" spans="1:22" ht="18" customHeight="1" x14ac:dyDescent="0.2">
      <c r="A31" s="112"/>
      <c r="B31" s="60"/>
      <c r="C31" s="106" t="s">
        <v>48</v>
      </c>
      <c r="D31" s="107"/>
      <c r="E31" s="108"/>
      <c r="F31" s="109">
        <f t="shared" ref="F31:O31" si="1">F29*F30</f>
        <v>114544.13352404757</v>
      </c>
      <c r="G31" s="109">
        <f t="shared" si="1"/>
        <v>117135.59972122881</v>
      </c>
      <c r="H31" s="109">
        <f t="shared" si="1"/>
        <v>119785.6956958113</v>
      </c>
      <c r="I31" s="109">
        <f t="shared" si="1"/>
        <v>122495.74789797286</v>
      </c>
      <c r="J31" s="109">
        <f t="shared" si="1"/>
        <v>125267.11278772853</v>
      </c>
      <c r="K31" s="109">
        <f t="shared" si="1"/>
        <v>122974.7734459356</v>
      </c>
      <c r="L31" s="109">
        <f t="shared" si="1"/>
        <v>120724.38302066983</v>
      </c>
      <c r="M31" s="109">
        <f t="shared" si="1"/>
        <v>118515.17386310817</v>
      </c>
      <c r="N31" s="109">
        <f t="shared" si="1"/>
        <v>116346.39237210178</v>
      </c>
      <c r="O31" s="109">
        <f t="shared" si="1"/>
        <v>114217.29873710925</v>
      </c>
      <c r="P31" s="61"/>
      <c r="Q31" s="61"/>
      <c r="R31" s="61"/>
      <c r="S31" s="61"/>
      <c r="T31" s="61"/>
      <c r="U31" s="65"/>
      <c r="V31" s="112"/>
    </row>
    <row r="32" spans="1:22" ht="17.25" customHeight="1" x14ac:dyDescent="0.2">
      <c r="A32" s="112"/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5"/>
      <c r="V32" s="112"/>
    </row>
    <row r="33" spans="1:22" ht="18" customHeight="1" x14ac:dyDescent="0.2">
      <c r="A33" s="112"/>
      <c r="B33" s="60"/>
      <c r="C33" s="99" t="s">
        <v>46</v>
      </c>
      <c r="D33" s="100"/>
      <c r="E33" s="101"/>
      <c r="F33" s="102">
        <f>$L$24+11</f>
        <v>2037</v>
      </c>
      <c r="G33" s="102">
        <f>$L$24+12</f>
        <v>2038</v>
      </c>
      <c r="H33" s="102">
        <f>$L$24+13</f>
        <v>2039</v>
      </c>
      <c r="I33" s="102">
        <f>$L$24+14</f>
        <v>2040</v>
      </c>
      <c r="J33" s="102">
        <f>$L$24+15</f>
        <v>2041</v>
      </c>
      <c r="K33" s="102">
        <f>$L$24+16</f>
        <v>2042</v>
      </c>
      <c r="L33" s="102">
        <f>$L$24+17</f>
        <v>2043</v>
      </c>
      <c r="M33" s="102">
        <f>$L$24+18</f>
        <v>2044</v>
      </c>
      <c r="N33" s="102">
        <f>$L$24+19</f>
        <v>2045</v>
      </c>
      <c r="O33" s="102">
        <f>$L$24+20</f>
        <v>2046</v>
      </c>
      <c r="P33" s="61"/>
      <c r="Q33" s="61"/>
      <c r="R33" s="61"/>
      <c r="S33" s="61"/>
      <c r="T33" s="61"/>
      <c r="U33" s="65"/>
      <c r="V33" s="112"/>
    </row>
    <row r="34" spans="1:22" ht="18" customHeight="1" x14ac:dyDescent="0.2">
      <c r="A34" s="112"/>
      <c r="B34" s="60"/>
      <c r="C34" s="238" t="str">
        <f>VLOOKUP(C12,AD6:AJ8,5,FALSE)</f>
        <v>Net Income (Projected)</v>
      </c>
      <c r="D34" s="215"/>
      <c r="E34" s="216"/>
      <c r="F34" s="98">
        <f>(O$29)*(1+$F$22)</f>
        <v>219104.41953743331</v>
      </c>
      <c r="G34" s="98">
        <f t="shared" ref="G34:O34" si="2">(F$34)*(1+$F$22)</f>
        <v>228262.98427409804</v>
      </c>
      <c r="H34" s="98">
        <f t="shared" si="2"/>
        <v>237804.37701675534</v>
      </c>
      <c r="I34" s="98">
        <f t="shared" si="2"/>
        <v>247744.59997605573</v>
      </c>
      <c r="J34" s="98">
        <f t="shared" si="2"/>
        <v>258100.32425505487</v>
      </c>
      <c r="K34" s="98">
        <f t="shared" si="2"/>
        <v>268888.91780891619</v>
      </c>
      <c r="L34" s="98">
        <f t="shared" si="2"/>
        <v>280128.47457332892</v>
      </c>
      <c r="M34" s="98">
        <f t="shared" si="2"/>
        <v>291837.84481049411</v>
      </c>
      <c r="N34" s="98">
        <f t="shared" si="2"/>
        <v>304036.66672357277</v>
      </c>
      <c r="O34" s="98">
        <f t="shared" si="2"/>
        <v>316745.3993926181</v>
      </c>
      <c r="P34" s="61"/>
      <c r="Q34" s="61"/>
      <c r="R34" s="61"/>
      <c r="S34" s="61"/>
      <c r="T34" s="61"/>
      <c r="U34" s="65"/>
      <c r="V34" s="112"/>
    </row>
    <row r="35" spans="1:22" ht="18" customHeight="1" x14ac:dyDescent="0.2">
      <c r="A35" s="112"/>
      <c r="B35" s="60"/>
      <c r="C35" s="103" t="s">
        <v>47</v>
      </c>
      <c r="D35" s="104"/>
      <c r="E35" s="105"/>
      <c r="F35" s="78">
        <f>O$30/(1+$L$26)</f>
        <v>0.51091847843781923</v>
      </c>
      <c r="G35" s="78">
        <f t="shared" ref="G35:O35" si="3">F$35/(1+$L$26)</f>
        <v>0.48066015276501706</v>
      </c>
      <c r="H35" s="78">
        <f t="shared" si="3"/>
        <v>0.45219382779518569</v>
      </c>
      <c r="I35" s="78">
        <f t="shared" si="3"/>
        <v>0.42541337516702149</v>
      </c>
      <c r="J35" s="78">
        <f t="shared" si="3"/>
        <v>0.40021895180083605</v>
      </c>
      <c r="K35" s="78">
        <f t="shared" si="3"/>
        <v>0.3765166276628551</v>
      </c>
      <c r="L35" s="78">
        <f t="shared" si="3"/>
        <v>0.35421803557457848</v>
      </c>
      <c r="M35" s="78">
        <f t="shared" si="3"/>
        <v>0.33324004176161787</v>
      </c>
      <c r="N35" s="78">
        <f t="shared" si="3"/>
        <v>0.31350443591374988</v>
      </c>
      <c r="O35" s="78">
        <f t="shared" si="3"/>
        <v>0.29493763960066471</v>
      </c>
      <c r="P35" s="61"/>
      <c r="Q35" s="61"/>
      <c r="R35" s="61"/>
      <c r="S35" s="61"/>
      <c r="T35" s="61"/>
      <c r="U35" s="65"/>
      <c r="V35" s="112"/>
    </row>
    <row r="36" spans="1:22" ht="18" customHeight="1" x14ac:dyDescent="0.2">
      <c r="A36" s="112"/>
      <c r="B36" s="60"/>
      <c r="C36" s="106" t="s">
        <v>48</v>
      </c>
      <c r="D36" s="107"/>
      <c r="E36" s="108"/>
      <c r="F36" s="109">
        <f t="shared" ref="F36:O36" si="4">F34*F35</f>
        <v>111944.49664906702</v>
      </c>
      <c r="G36" s="109">
        <f t="shared" si="4"/>
        <v>109716.92089178665</v>
      </c>
      <c r="H36" s="109">
        <f t="shared" si="4"/>
        <v>107533.67150965608</v>
      </c>
      <c r="I36" s="109">
        <f t="shared" si="4"/>
        <v>105393.86645521746</v>
      </c>
      <c r="J36" s="109">
        <f t="shared" si="4"/>
        <v>103296.64123281397</v>
      </c>
      <c r="K36" s="109">
        <f t="shared" si="4"/>
        <v>101241.14854932774</v>
      </c>
      <c r="L36" s="109">
        <f t="shared" si="4"/>
        <v>99226.55797186782</v>
      </c>
      <c r="M36" s="109">
        <f t="shared" si="4"/>
        <v>97252.055592269608</v>
      </c>
      <c r="N36" s="109">
        <f t="shared" si="4"/>
        <v>95316.843698270444</v>
      </c>
      <c r="O36" s="109">
        <f t="shared" si="4"/>
        <v>93420.140451228595</v>
      </c>
      <c r="P36" s="61"/>
      <c r="Q36" s="61"/>
      <c r="R36" s="61"/>
      <c r="S36" s="61"/>
      <c r="T36" s="61"/>
      <c r="U36" s="65"/>
      <c r="V36" s="112"/>
    </row>
    <row r="37" spans="1:22" x14ac:dyDescent="0.2">
      <c r="A37" s="112"/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5"/>
      <c r="V37" s="112"/>
    </row>
    <row r="38" spans="1:22" x14ac:dyDescent="0.2">
      <c r="A38" s="112"/>
      <c r="B38" s="60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5"/>
      <c r="V38" s="112"/>
    </row>
    <row r="39" spans="1:22" x14ac:dyDescent="0.2">
      <c r="A39" s="112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5"/>
      <c r="V39" s="112"/>
    </row>
    <row r="40" spans="1:22" x14ac:dyDescent="0.2">
      <c r="A40" s="112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5"/>
      <c r="V40" s="112"/>
    </row>
    <row r="41" spans="1:22" x14ac:dyDescent="0.2">
      <c r="A41" s="112"/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5"/>
      <c r="V41" s="112"/>
    </row>
    <row r="42" spans="1:22" x14ac:dyDescent="0.2">
      <c r="A42" s="112"/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5"/>
      <c r="V42" s="112"/>
    </row>
    <row r="43" spans="1:22" x14ac:dyDescent="0.2">
      <c r="A43" s="112"/>
      <c r="B43" s="60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5"/>
      <c r="V43" s="112"/>
    </row>
    <row r="44" spans="1:22" x14ac:dyDescent="0.2">
      <c r="A44" s="112"/>
      <c r="B44" s="60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5"/>
      <c r="V44" s="112"/>
    </row>
    <row r="45" spans="1:22" x14ac:dyDescent="0.2">
      <c r="A45" s="112"/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5"/>
      <c r="V45" s="112"/>
    </row>
    <row r="46" spans="1:22" x14ac:dyDescent="0.2">
      <c r="A46" s="112"/>
      <c r="B46" s="60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5"/>
      <c r="V46" s="112"/>
    </row>
    <row r="47" spans="1:22" x14ac:dyDescent="0.2">
      <c r="A47" s="112"/>
      <c r="B47" s="60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5"/>
      <c r="V47" s="112"/>
    </row>
    <row r="48" spans="1:22" x14ac:dyDescent="0.2">
      <c r="A48" s="112"/>
      <c r="B48" s="60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5"/>
      <c r="V48" s="112"/>
    </row>
    <row r="49" spans="1:37" x14ac:dyDescent="0.2">
      <c r="A49" s="112"/>
      <c r="B49" s="60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5"/>
      <c r="V49" s="112"/>
    </row>
    <row r="50" spans="1:37" x14ac:dyDescent="0.2">
      <c r="A50" s="112"/>
      <c r="B50" s="60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5"/>
      <c r="V50" s="112"/>
    </row>
    <row r="51" spans="1:37" x14ac:dyDescent="0.2">
      <c r="A51" s="112"/>
      <c r="B51" s="60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5"/>
      <c r="V51" s="112"/>
    </row>
    <row r="52" spans="1:37" x14ac:dyDescent="0.2">
      <c r="A52" s="112"/>
      <c r="B52" s="60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5"/>
      <c r="V52" s="112"/>
    </row>
    <row r="53" spans="1:37" x14ac:dyDescent="0.2">
      <c r="A53" s="112"/>
      <c r="B53" s="60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5"/>
      <c r="V53" s="112"/>
    </row>
    <row r="54" spans="1:37" ht="13.5" customHeight="1" thickBot="1" x14ac:dyDescent="0.25">
      <c r="A54" s="112"/>
      <c r="B54" s="80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81"/>
      <c r="V54" s="112"/>
    </row>
    <row r="55" spans="1:37" x14ac:dyDescent="0.2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</row>
    <row r="56" spans="1:37" ht="18" customHeight="1" x14ac:dyDescent="0.25">
      <c r="A56" s="112"/>
      <c r="B56" s="114"/>
      <c r="C56" s="127" t="s">
        <v>49</v>
      </c>
      <c r="D56" s="115"/>
      <c r="E56" s="115"/>
      <c r="F56" s="116"/>
      <c r="G56" s="116"/>
      <c r="H56" s="116"/>
      <c r="I56" s="114"/>
      <c r="J56" s="127" t="s">
        <v>50</v>
      </c>
      <c r="K56" s="116"/>
      <c r="L56" s="116"/>
      <c r="M56" s="116"/>
      <c r="N56" s="116"/>
      <c r="O56" s="57"/>
      <c r="P56" s="57"/>
      <c r="Q56" s="57"/>
      <c r="R56" s="57"/>
      <c r="S56" s="57"/>
      <c r="T56" s="57"/>
      <c r="U56" s="57"/>
      <c r="V56" s="112"/>
      <c r="AC56" s="186"/>
      <c r="AD56" s="186"/>
      <c r="AE56" s="186"/>
      <c r="AF56" s="186"/>
      <c r="AG56" s="186"/>
      <c r="AH56" s="186"/>
      <c r="AI56" s="186"/>
      <c r="AJ56" s="186"/>
      <c r="AK56" s="186"/>
    </row>
    <row r="57" spans="1:37" ht="16.5" customHeight="1" thickBot="1" x14ac:dyDescent="0.3">
      <c r="A57" s="112"/>
      <c r="B57" s="114"/>
      <c r="C57" s="117"/>
      <c r="D57" s="118"/>
      <c r="E57" s="119"/>
      <c r="F57" s="116"/>
      <c r="G57" s="116"/>
      <c r="H57" s="116"/>
      <c r="I57" s="114"/>
      <c r="J57" s="119"/>
      <c r="K57" s="119"/>
      <c r="L57" s="116"/>
      <c r="M57" s="116"/>
      <c r="N57" s="116"/>
      <c r="O57" s="57"/>
      <c r="P57" s="57"/>
      <c r="Q57" s="57"/>
      <c r="R57" s="57"/>
      <c r="S57" s="57"/>
      <c r="T57" s="57"/>
      <c r="U57" s="57"/>
      <c r="V57" s="112"/>
    </row>
    <row r="58" spans="1:37" ht="25.5" customHeight="1" thickBot="1" x14ac:dyDescent="0.25">
      <c r="A58" s="112"/>
      <c r="B58" s="114"/>
      <c r="C58" s="128" t="s">
        <v>51</v>
      </c>
      <c r="D58" s="129"/>
      <c r="E58" s="129" t="s">
        <v>52</v>
      </c>
      <c r="F58" s="130"/>
      <c r="G58" s="124"/>
      <c r="H58" s="124"/>
      <c r="I58" s="123"/>
      <c r="J58" s="173" t="s">
        <v>51</v>
      </c>
      <c r="K58" s="171"/>
      <c r="L58" s="171" t="s">
        <v>52</v>
      </c>
      <c r="M58" s="172"/>
      <c r="N58" s="116"/>
      <c r="O58" s="111"/>
      <c r="P58" s="111"/>
      <c r="Q58" s="111"/>
      <c r="R58" s="111"/>
      <c r="S58" s="111"/>
      <c r="T58" s="57"/>
      <c r="U58" s="57"/>
      <c r="V58" s="112"/>
      <c r="AC58" s="181"/>
      <c r="AD58" s="181"/>
      <c r="AE58" s="181"/>
      <c r="AF58" s="181"/>
      <c r="AG58" s="181"/>
      <c r="AH58" s="181"/>
      <c r="AI58" s="181"/>
      <c r="AJ58" s="181"/>
      <c r="AK58" s="181"/>
    </row>
    <row r="59" spans="1:37" s="178" customFormat="1" ht="15" customHeight="1" x14ac:dyDescent="0.2">
      <c r="A59" s="51"/>
      <c r="B59" s="123"/>
      <c r="C59" s="174" t="s">
        <v>53</v>
      </c>
      <c r="D59" s="175"/>
      <c r="E59" s="147">
        <f>E69+0.8*E70</f>
        <v>5.024E-2</v>
      </c>
      <c r="F59" s="136"/>
      <c r="G59" s="124"/>
      <c r="H59" s="124"/>
      <c r="I59" s="123"/>
      <c r="J59" s="142" t="s">
        <v>53</v>
      </c>
      <c r="K59" s="143"/>
      <c r="L59" s="144">
        <f>L69+0.8*L70</f>
        <v>6.5800000000000011E-2</v>
      </c>
      <c r="M59" s="133"/>
      <c r="N59" s="124"/>
      <c r="O59" s="113"/>
      <c r="P59" s="113"/>
      <c r="Q59" s="113"/>
      <c r="R59" s="113"/>
      <c r="S59" s="113"/>
      <c r="T59" s="52"/>
      <c r="U59" s="52"/>
      <c r="V59" s="51"/>
    </row>
    <row r="60" spans="1:37" s="178" customFormat="1" ht="15" customHeight="1" x14ac:dyDescent="0.2">
      <c r="A60" s="51"/>
      <c r="B60" s="123"/>
      <c r="C60" s="145">
        <v>1</v>
      </c>
      <c r="D60" s="146"/>
      <c r="E60" s="147">
        <f>E69+C60*E70</f>
        <v>5.8799999999999998E-2</v>
      </c>
      <c r="F60" s="136"/>
      <c r="G60" s="124"/>
      <c r="H60" s="124"/>
      <c r="I60" s="123"/>
      <c r="J60" s="145">
        <v>1</v>
      </c>
      <c r="K60" s="146"/>
      <c r="L60" s="147">
        <f>L69+J60*L70</f>
        <v>7.9000000000000001E-2</v>
      </c>
      <c r="M60" s="136"/>
      <c r="N60" s="124"/>
      <c r="O60" s="113"/>
      <c r="P60" s="113"/>
      <c r="Q60" s="113"/>
      <c r="R60" s="113"/>
      <c r="S60" s="113"/>
      <c r="T60" s="52"/>
      <c r="U60" s="52"/>
      <c r="V60" s="51"/>
    </row>
    <row r="61" spans="1:37" s="179" customFormat="1" ht="15" customHeight="1" x14ac:dyDescent="0.2">
      <c r="A61" s="52"/>
      <c r="B61" s="123"/>
      <c r="C61" s="145">
        <v>1.1000000000000001</v>
      </c>
      <c r="D61" s="146"/>
      <c r="E61" s="147">
        <f>E69+C61*E70</f>
        <v>6.3079999999999997E-2</v>
      </c>
      <c r="F61" s="136"/>
      <c r="G61" s="124"/>
      <c r="H61" s="124"/>
      <c r="I61" s="123"/>
      <c r="J61" s="145">
        <v>1.1000000000000001</v>
      </c>
      <c r="K61" s="146"/>
      <c r="L61" s="147">
        <f>L69+J61*L70</f>
        <v>8.5600000000000009E-2</v>
      </c>
      <c r="M61" s="136"/>
      <c r="N61" s="124"/>
      <c r="O61" s="113"/>
      <c r="P61" s="113"/>
      <c r="Q61" s="113"/>
      <c r="R61" s="113"/>
      <c r="S61" s="113"/>
      <c r="T61" s="52"/>
      <c r="U61" s="52"/>
      <c r="V61" s="52"/>
      <c r="AC61" s="178"/>
      <c r="AD61" s="178"/>
      <c r="AE61" s="178"/>
      <c r="AF61" s="178"/>
      <c r="AG61" s="178"/>
      <c r="AH61" s="178"/>
      <c r="AI61" s="178"/>
      <c r="AJ61" s="178"/>
      <c r="AK61" s="178"/>
    </row>
    <row r="62" spans="1:37" s="179" customFormat="1" ht="15" customHeight="1" x14ac:dyDescent="0.2">
      <c r="A62" s="52"/>
      <c r="B62" s="123"/>
      <c r="C62" s="145">
        <v>1.2</v>
      </c>
      <c r="D62" s="146"/>
      <c r="E62" s="147">
        <f>E69+C62*E70</f>
        <v>6.7360000000000003E-2</v>
      </c>
      <c r="F62" s="136"/>
      <c r="G62" s="124"/>
      <c r="H62" s="124"/>
      <c r="I62" s="123"/>
      <c r="J62" s="145">
        <v>1.2</v>
      </c>
      <c r="K62" s="146"/>
      <c r="L62" s="147">
        <f>L69+J62*L70</f>
        <v>9.2200000000000004E-2</v>
      </c>
      <c r="M62" s="136"/>
      <c r="N62" s="124"/>
      <c r="O62" s="113"/>
      <c r="P62" s="113"/>
      <c r="Q62" s="113"/>
      <c r="R62" s="113"/>
      <c r="S62" s="113"/>
      <c r="T62" s="52"/>
      <c r="U62" s="52"/>
      <c r="V62" s="52"/>
      <c r="AC62" s="178"/>
      <c r="AD62" s="178"/>
      <c r="AE62" s="178"/>
      <c r="AF62" s="178"/>
      <c r="AG62" s="178"/>
      <c r="AH62" s="178"/>
      <c r="AI62" s="178"/>
      <c r="AJ62" s="178"/>
      <c r="AK62" s="178"/>
    </row>
    <row r="63" spans="1:37" s="179" customFormat="1" ht="15" customHeight="1" x14ac:dyDescent="0.2">
      <c r="A63" s="52"/>
      <c r="B63" s="123"/>
      <c r="C63" s="145">
        <v>1.3</v>
      </c>
      <c r="D63" s="146"/>
      <c r="E63" s="147">
        <f>E69+C63*E70</f>
        <v>7.1640000000000009E-2</v>
      </c>
      <c r="F63" s="136"/>
      <c r="G63" s="124"/>
      <c r="H63" s="124"/>
      <c r="I63" s="123"/>
      <c r="J63" s="145">
        <v>1.3</v>
      </c>
      <c r="K63" s="146"/>
      <c r="L63" s="147">
        <f>L69+J63*L70</f>
        <v>9.8799999999999999E-2</v>
      </c>
      <c r="M63" s="136"/>
      <c r="N63" s="124"/>
      <c r="O63" s="113"/>
      <c r="P63" s="113"/>
      <c r="Q63" s="113"/>
      <c r="R63" s="113"/>
      <c r="S63" s="113"/>
      <c r="T63" s="52"/>
      <c r="U63" s="52"/>
      <c r="V63" s="52"/>
      <c r="AC63" s="178"/>
      <c r="AD63" s="178"/>
      <c r="AE63" s="178"/>
      <c r="AF63" s="178"/>
      <c r="AG63" s="178"/>
      <c r="AH63" s="178"/>
      <c r="AI63" s="178"/>
      <c r="AJ63" s="178"/>
      <c r="AK63" s="178"/>
    </row>
    <row r="64" spans="1:37" s="179" customFormat="1" ht="15" customHeight="1" x14ac:dyDescent="0.2">
      <c r="A64" s="52"/>
      <c r="B64" s="123"/>
      <c r="C64" s="145">
        <v>1.4</v>
      </c>
      <c r="D64" s="146"/>
      <c r="E64" s="147">
        <f>E69+C64*E70</f>
        <v>7.5919999999999987E-2</v>
      </c>
      <c r="F64" s="136"/>
      <c r="G64" s="124"/>
      <c r="H64" s="124"/>
      <c r="I64" s="123"/>
      <c r="J64" s="145">
        <v>1.4</v>
      </c>
      <c r="K64" s="146"/>
      <c r="L64" s="147">
        <f>L69+J64*L70</f>
        <v>0.10539999999999999</v>
      </c>
      <c r="M64" s="136"/>
      <c r="N64" s="124"/>
      <c r="O64" s="113"/>
      <c r="P64" s="113"/>
      <c r="Q64" s="113"/>
      <c r="R64" s="113"/>
      <c r="S64" s="113"/>
      <c r="T64" s="52"/>
      <c r="U64" s="52"/>
      <c r="V64" s="52"/>
      <c r="AC64" s="178"/>
      <c r="AD64" s="178"/>
      <c r="AE64" s="178"/>
      <c r="AF64" s="178"/>
      <c r="AG64" s="178"/>
      <c r="AH64" s="178"/>
      <c r="AI64" s="178"/>
      <c r="AJ64" s="178"/>
      <c r="AK64" s="178"/>
    </row>
    <row r="65" spans="1:37" s="179" customFormat="1" ht="15" customHeight="1" x14ac:dyDescent="0.2">
      <c r="A65" s="52"/>
      <c r="B65" s="123"/>
      <c r="C65" s="145">
        <v>1.5</v>
      </c>
      <c r="D65" s="146"/>
      <c r="E65" s="147">
        <f>E69+C65*E70</f>
        <v>8.0199999999999994E-2</v>
      </c>
      <c r="F65" s="136"/>
      <c r="G65" s="124"/>
      <c r="H65" s="124"/>
      <c r="I65" s="123"/>
      <c r="J65" s="145">
        <v>1.5</v>
      </c>
      <c r="K65" s="146"/>
      <c r="L65" s="147">
        <f>L69+J65*L70</f>
        <v>0.112</v>
      </c>
      <c r="M65" s="136"/>
      <c r="N65" s="124"/>
      <c r="O65" s="113"/>
      <c r="P65" s="113"/>
      <c r="Q65" s="113"/>
      <c r="R65" s="113"/>
      <c r="S65" s="113"/>
      <c r="T65" s="52"/>
      <c r="U65" s="52"/>
      <c r="V65" s="52"/>
      <c r="AC65" s="178"/>
      <c r="AD65" s="178"/>
      <c r="AE65" s="178"/>
      <c r="AF65" s="178"/>
      <c r="AG65" s="178"/>
      <c r="AH65" s="178"/>
      <c r="AI65" s="178"/>
      <c r="AJ65" s="178"/>
      <c r="AK65" s="178"/>
    </row>
    <row r="66" spans="1:37" s="179" customFormat="1" ht="15" customHeight="1" thickBot="1" x14ac:dyDescent="0.25">
      <c r="A66" s="52"/>
      <c r="B66" s="123"/>
      <c r="C66" s="148" t="s">
        <v>54</v>
      </c>
      <c r="D66" s="149"/>
      <c r="E66" s="150">
        <f>E69+1.6*E70</f>
        <v>8.448E-2</v>
      </c>
      <c r="F66" s="139"/>
      <c r="G66" s="124"/>
      <c r="H66" s="124"/>
      <c r="I66" s="123"/>
      <c r="J66" s="148" t="s">
        <v>54</v>
      </c>
      <c r="K66" s="149"/>
      <c r="L66" s="150">
        <f>L69+1.6*L70</f>
        <v>0.11860000000000001</v>
      </c>
      <c r="M66" s="139"/>
      <c r="N66" s="124"/>
      <c r="O66" s="113"/>
      <c r="P66" s="113"/>
      <c r="Q66" s="113"/>
      <c r="R66" s="113"/>
      <c r="S66" s="113"/>
      <c r="T66" s="52"/>
      <c r="U66" s="52"/>
      <c r="V66" s="52"/>
      <c r="AC66" s="178"/>
      <c r="AD66" s="178"/>
      <c r="AE66" s="178"/>
      <c r="AF66" s="178"/>
      <c r="AG66" s="178"/>
      <c r="AH66" s="178"/>
      <c r="AI66" s="178"/>
      <c r="AJ66" s="178"/>
      <c r="AK66" s="178"/>
    </row>
    <row r="67" spans="1:37" s="180" customFormat="1" ht="15.75" customHeight="1" x14ac:dyDescent="0.25">
      <c r="A67" s="57"/>
      <c r="B67" s="114"/>
      <c r="C67" s="115"/>
      <c r="D67" s="115"/>
      <c r="E67" s="115"/>
      <c r="F67" s="115"/>
      <c r="G67" s="116"/>
      <c r="H67" s="116"/>
      <c r="I67" s="114"/>
      <c r="J67" s="116"/>
      <c r="K67" s="116"/>
      <c r="L67" s="116"/>
      <c r="M67" s="116"/>
      <c r="N67" s="116"/>
      <c r="O67" s="111"/>
      <c r="P67" s="111"/>
      <c r="Q67" s="111"/>
      <c r="R67" s="111"/>
      <c r="S67" s="111"/>
      <c r="T67" s="57"/>
      <c r="U67" s="57"/>
      <c r="V67" s="57"/>
      <c r="AC67" s="177"/>
      <c r="AD67" s="177"/>
      <c r="AE67" s="177"/>
      <c r="AF67" s="177"/>
      <c r="AG67" s="177"/>
      <c r="AH67" s="177"/>
      <c r="AI67" s="177"/>
      <c r="AJ67" s="177"/>
      <c r="AK67" s="177"/>
    </row>
    <row r="68" spans="1:37" s="199" customFormat="1" ht="20.100000000000001" customHeight="1" x14ac:dyDescent="0.2">
      <c r="A68" s="196"/>
      <c r="B68" s="198"/>
      <c r="C68" s="197" t="s">
        <v>55</v>
      </c>
      <c r="D68" s="175"/>
      <c r="E68" s="175"/>
      <c r="F68" s="175"/>
      <c r="G68" s="198"/>
      <c r="H68" s="198"/>
      <c r="I68" s="198"/>
      <c r="J68" s="197" t="s">
        <v>55</v>
      </c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6"/>
    </row>
    <row r="69" spans="1:37" s="199" customFormat="1" ht="20.100000000000001" customHeight="1" x14ac:dyDescent="0.2">
      <c r="A69" s="196"/>
      <c r="B69" s="198"/>
      <c r="C69" s="198"/>
      <c r="D69" s="200" t="s">
        <v>56</v>
      </c>
      <c r="E69" s="201">
        <v>1.6E-2</v>
      </c>
      <c r="F69" s="207"/>
      <c r="G69" s="207"/>
      <c r="H69" s="207"/>
      <c r="I69" s="207"/>
      <c r="J69" s="207"/>
      <c r="K69" s="200" t="s">
        <v>56</v>
      </c>
      <c r="L69" s="201">
        <v>1.2999999999999999E-2</v>
      </c>
      <c r="M69" s="198"/>
      <c r="N69" s="198"/>
      <c r="O69" s="198"/>
      <c r="P69" s="198"/>
      <c r="Q69" s="198"/>
      <c r="R69" s="198"/>
      <c r="S69" s="198"/>
      <c r="T69" s="198"/>
      <c r="U69" s="198"/>
      <c r="V69" s="196"/>
    </row>
    <row r="70" spans="1:37" s="199" customFormat="1" ht="20.100000000000001" customHeight="1" x14ac:dyDescent="0.2">
      <c r="A70" s="196"/>
      <c r="B70" s="198"/>
      <c r="C70" s="198"/>
      <c r="D70" s="200" t="s">
        <v>57</v>
      </c>
      <c r="E70" s="201">
        <v>4.2799999999999998E-2</v>
      </c>
      <c r="F70" s="207"/>
      <c r="G70" s="207"/>
      <c r="H70" s="207"/>
      <c r="I70" s="207"/>
      <c r="J70" s="207"/>
      <c r="K70" s="200" t="s">
        <v>57</v>
      </c>
      <c r="L70" s="201">
        <v>6.6000000000000003E-2</v>
      </c>
      <c r="M70" s="198"/>
      <c r="N70" s="198"/>
      <c r="O70" s="198"/>
      <c r="P70" s="198"/>
      <c r="Q70" s="198"/>
      <c r="R70" s="198"/>
      <c r="S70" s="198"/>
      <c r="T70" s="198"/>
      <c r="U70" s="198"/>
      <c r="V70" s="196"/>
    </row>
    <row r="71" spans="1:37" s="180" customFormat="1" ht="15.75" customHeight="1" x14ac:dyDescent="0.25">
      <c r="A71" s="57"/>
      <c r="B71" s="114"/>
      <c r="C71" s="115"/>
      <c r="D71" s="115"/>
      <c r="E71" s="115"/>
      <c r="F71" s="116"/>
      <c r="G71" s="116"/>
      <c r="H71" s="116"/>
      <c r="I71" s="116"/>
      <c r="J71" s="116"/>
      <c r="K71" s="116"/>
      <c r="L71" s="116"/>
      <c r="M71" s="116"/>
      <c r="N71" s="116"/>
      <c r="O71" s="111"/>
      <c r="P71" s="111"/>
      <c r="Q71" s="111"/>
      <c r="R71" s="111"/>
      <c r="S71" s="111"/>
      <c r="T71" s="57"/>
      <c r="U71" s="57"/>
      <c r="V71" s="57"/>
      <c r="AC71" s="181"/>
      <c r="AD71" s="181"/>
      <c r="AE71" s="181"/>
      <c r="AF71" s="181"/>
      <c r="AG71" s="181"/>
      <c r="AH71" s="181"/>
      <c r="AI71" s="181"/>
      <c r="AJ71" s="181"/>
      <c r="AK71" s="181"/>
    </row>
    <row r="72" spans="1:37" s="181" customFormat="1" ht="15.75" customHeight="1" x14ac:dyDescent="0.25">
      <c r="A72" s="116"/>
      <c r="B72" s="116"/>
      <c r="C72" s="115" t="s">
        <v>58</v>
      </c>
      <c r="D72" s="115"/>
      <c r="E72" s="115"/>
      <c r="F72" s="116"/>
      <c r="G72" s="116"/>
      <c r="H72" s="116"/>
      <c r="I72" s="116"/>
      <c r="J72" s="115" t="s">
        <v>58</v>
      </c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</row>
    <row r="73" spans="1:37" s="182" customFormat="1" x14ac:dyDescent="0.2">
      <c r="A73" s="123"/>
      <c r="B73" s="114"/>
      <c r="C73" s="126" t="s">
        <v>59</v>
      </c>
      <c r="D73" s="126"/>
      <c r="E73" s="170"/>
      <c r="F73" s="114"/>
      <c r="G73" s="114"/>
      <c r="H73" s="114"/>
      <c r="I73" s="114"/>
      <c r="J73" s="126" t="s">
        <v>60</v>
      </c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23"/>
    </row>
    <row r="74" spans="1:37" s="179" customFormat="1" ht="12" customHeight="1" x14ac:dyDescent="0.2">
      <c r="A74" s="52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57"/>
      <c r="P74" s="57"/>
      <c r="Q74" s="57"/>
      <c r="R74" s="57"/>
      <c r="S74" s="57"/>
      <c r="T74" s="57"/>
      <c r="U74" s="57"/>
      <c r="V74" s="52"/>
      <c r="AC74" s="178"/>
      <c r="AD74" s="178"/>
      <c r="AE74" s="178"/>
      <c r="AF74" s="178"/>
      <c r="AG74" s="178"/>
      <c r="AH74" s="178"/>
      <c r="AI74" s="178"/>
      <c r="AJ74" s="178"/>
      <c r="AK74" s="178"/>
    </row>
    <row r="75" spans="1:37" s="179" customFormat="1" ht="12" customHeight="1" x14ac:dyDescent="0.25">
      <c r="A75" s="52"/>
      <c r="B75" s="114"/>
      <c r="C75" s="115"/>
      <c r="D75" s="115"/>
      <c r="E75" s="115"/>
      <c r="F75" s="115"/>
      <c r="G75" s="116"/>
      <c r="H75" s="116"/>
      <c r="I75" s="116"/>
      <c r="J75" s="116"/>
      <c r="K75" s="116"/>
      <c r="L75" s="116"/>
      <c r="M75" s="116"/>
      <c r="N75" s="116"/>
      <c r="O75" s="111"/>
      <c r="P75" s="111"/>
      <c r="Q75" s="111"/>
      <c r="R75" s="111"/>
      <c r="S75" s="111"/>
      <c r="T75" s="112"/>
      <c r="U75" s="112"/>
      <c r="V75" s="52"/>
      <c r="AC75" s="178"/>
      <c r="AD75" s="178"/>
      <c r="AE75" s="178"/>
      <c r="AF75" s="178"/>
      <c r="AG75" s="178"/>
      <c r="AH75" s="178"/>
      <c r="AI75" s="178"/>
      <c r="AJ75" s="178"/>
      <c r="AK75" s="178"/>
    </row>
    <row r="76" spans="1:37" s="180" customFormat="1" ht="18" customHeight="1" x14ac:dyDescent="0.25">
      <c r="A76" s="57"/>
      <c r="B76" s="114"/>
      <c r="C76" s="127" t="s">
        <v>61</v>
      </c>
      <c r="D76" s="115"/>
      <c r="E76" s="115"/>
      <c r="F76" s="115"/>
      <c r="G76" s="116"/>
      <c r="H76" s="116"/>
      <c r="I76" s="116"/>
      <c r="J76" s="116"/>
      <c r="K76" s="116"/>
      <c r="L76" s="116"/>
      <c r="M76" s="116"/>
      <c r="N76" s="116"/>
      <c r="O76" s="111"/>
      <c r="P76" s="111"/>
      <c r="Q76" s="111"/>
      <c r="R76" s="111"/>
      <c r="S76" s="111"/>
      <c r="T76" s="112"/>
      <c r="U76" s="112"/>
      <c r="V76" s="57"/>
      <c r="AC76" s="186"/>
      <c r="AD76" s="186"/>
      <c r="AE76" s="186"/>
      <c r="AF76" s="186"/>
      <c r="AG76" s="186"/>
      <c r="AH76" s="186"/>
      <c r="AI76" s="186"/>
      <c r="AJ76" s="186"/>
      <c r="AK76" s="186"/>
    </row>
    <row r="77" spans="1:37" s="180" customFormat="1" ht="15.75" customHeight="1" thickBot="1" x14ac:dyDescent="0.25">
      <c r="A77" s="57"/>
      <c r="B77" s="1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1"/>
      <c r="P77" s="111"/>
      <c r="Q77" s="111"/>
      <c r="R77" s="111"/>
      <c r="S77" s="111"/>
      <c r="T77" s="112"/>
      <c r="U77" s="112"/>
      <c r="V77" s="57"/>
      <c r="AC77" s="177"/>
      <c r="AD77" s="177"/>
      <c r="AE77" s="177"/>
      <c r="AF77" s="177"/>
      <c r="AG77" s="177"/>
      <c r="AH77" s="177"/>
      <c r="AI77" s="177"/>
      <c r="AJ77" s="177"/>
      <c r="AK77" s="177"/>
    </row>
    <row r="78" spans="1:37" s="180" customFormat="1" ht="25.5" customHeight="1" thickBot="1" x14ac:dyDescent="0.25">
      <c r="A78" s="57"/>
      <c r="B78" s="114"/>
      <c r="C78" s="173" t="s">
        <v>62</v>
      </c>
      <c r="D78" s="171"/>
      <c r="E78" s="176" t="s">
        <v>63</v>
      </c>
      <c r="F78" s="116"/>
      <c r="G78" s="116"/>
      <c r="H78" s="116"/>
      <c r="I78" s="116"/>
      <c r="J78" s="116"/>
      <c r="K78" s="116"/>
      <c r="L78" s="116"/>
      <c r="M78" s="116"/>
      <c r="N78" s="116"/>
      <c r="O78" s="111"/>
      <c r="P78" s="111"/>
      <c r="Q78" s="111"/>
      <c r="R78" s="111"/>
      <c r="S78" s="111"/>
      <c r="T78" s="112"/>
      <c r="U78" s="112"/>
      <c r="V78" s="57"/>
      <c r="AC78" s="181"/>
      <c r="AD78" s="181"/>
      <c r="AE78" s="181"/>
      <c r="AF78" s="181"/>
      <c r="AG78" s="181"/>
      <c r="AH78" s="181"/>
      <c r="AI78" s="181"/>
      <c r="AJ78" s="181"/>
      <c r="AK78" s="181"/>
    </row>
    <row r="79" spans="1:37" s="180" customFormat="1" ht="16.5" customHeight="1" x14ac:dyDescent="0.2">
      <c r="A79" s="57"/>
      <c r="B79" s="114"/>
      <c r="C79" s="132" t="s">
        <v>64</v>
      </c>
      <c r="D79" s="133"/>
      <c r="E79" s="134" t="s">
        <v>65</v>
      </c>
      <c r="F79" s="116"/>
      <c r="G79" s="116"/>
      <c r="H79" s="116"/>
      <c r="I79" s="116"/>
      <c r="J79" s="116"/>
      <c r="K79" s="116"/>
      <c r="L79" s="116"/>
      <c r="M79" s="116"/>
      <c r="N79" s="116"/>
      <c r="O79" s="111"/>
      <c r="P79" s="111"/>
      <c r="Q79" s="111"/>
      <c r="R79" s="111"/>
      <c r="S79" s="111"/>
      <c r="T79" s="112"/>
      <c r="U79" s="112"/>
      <c r="V79" s="57"/>
      <c r="AC79" s="177"/>
      <c r="AD79" s="177"/>
      <c r="AE79" s="177"/>
      <c r="AF79" s="177"/>
      <c r="AG79" s="177"/>
      <c r="AH79" s="177"/>
      <c r="AI79" s="177"/>
      <c r="AJ79" s="177"/>
      <c r="AK79" s="177"/>
    </row>
    <row r="80" spans="1:37" ht="16.5" customHeight="1" x14ac:dyDescent="0.2">
      <c r="A80" s="112"/>
      <c r="B80" s="114"/>
      <c r="C80" s="135" t="s">
        <v>66</v>
      </c>
      <c r="D80" s="136"/>
      <c r="E80" s="137" t="s">
        <v>67</v>
      </c>
      <c r="F80" s="116"/>
      <c r="G80" s="116"/>
      <c r="H80" s="116"/>
      <c r="I80" s="116"/>
      <c r="J80" s="116"/>
      <c r="K80" s="116"/>
      <c r="L80" s="116"/>
      <c r="M80" s="116"/>
      <c r="N80" s="116"/>
      <c r="O80" s="111"/>
      <c r="P80" s="111"/>
      <c r="Q80" s="111"/>
      <c r="R80" s="111"/>
      <c r="S80" s="111"/>
      <c r="T80" s="112"/>
      <c r="U80" s="112"/>
      <c r="V80" s="112"/>
    </row>
    <row r="81" spans="1:22" ht="16.5" customHeight="1" x14ac:dyDescent="0.2">
      <c r="A81" s="112"/>
      <c r="B81" s="114"/>
      <c r="C81" s="135" t="s">
        <v>68</v>
      </c>
      <c r="D81" s="136"/>
      <c r="E81" s="137" t="s">
        <v>69</v>
      </c>
      <c r="F81" s="116"/>
      <c r="G81" s="116"/>
      <c r="H81" s="116"/>
      <c r="I81" s="116"/>
      <c r="J81" s="116"/>
      <c r="K81" s="116"/>
      <c r="L81" s="116"/>
      <c r="M81" s="116"/>
      <c r="N81" s="116"/>
      <c r="O81" s="111"/>
      <c r="P81" s="111"/>
      <c r="Q81" s="111"/>
      <c r="R81" s="111"/>
      <c r="S81" s="111"/>
      <c r="T81" s="112"/>
      <c r="U81" s="112"/>
      <c r="V81" s="112"/>
    </row>
    <row r="82" spans="1:22" ht="16.5" customHeight="1" x14ac:dyDescent="0.2">
      <c r="A82" s="112"/>
      <c r="B82" s="114"/>
      <c r="C82" s="135" t="s">
        <v>70</v>
      </c>
      <c r="D82" s="136"/>
      <c r="E82" s="137" t="s">
        <v>71</v>
      </c>
      <c r="F82" s="116"/>
      <c r="G82" s="116"/>
      <c r="H82" s="116"/>
      <c r="I82" s="116"/>
      <c r="J82" s="116"/>
      <c r="K82" s="116"/>
      <c r="L82" s="116"/>
      <c r="M82" s="116"/>
      <c r="N82" s="116"/>
      <c r="O82" s="111"/>
      <c r="P82" s="111"/>
      <c r="Q82" s="111"/>
      <c r="R82" s="111"/>
      <c r="S82" s="111"/>
      <c r="T82" s="112"/>
      <c r="U82" s="112"/>
      <c r="V82" s="112"/>
    </row>
    <row r="83" spans="1:22" ht="16.5" customHeight="1" x14ac:dyDescent="0.2">
      <c r="A83" s="112"/>
      <c r="B83" s="114"/>
      <c r="C83" s="135" t="s">
        <v>72</v>
      </c>
      <c r="D83" s="136"/>
      <c r="E83" s="137" t="s">
        <v>73</v>
      </c>
      <c r="F83" s="116"/>
      <c r="G83" s="116"/>
      <c r="H83" s="116"/>
      <c r="I83" s="116"/>
      <c r="J83" s="116"/>
      <c r="K83" s="116"/>
      <c r="L83" s="116"/>
      <c r="M83" s="116"/>
      <c r="N83" s="116"/>
      <c r="O83" s="111"/>
      <c r="P83" s="111"/>
      <c r="Q83" s="111"/>
      <c r="R83" s="111"/>
      <c r="S83" s="111"/>
      <c r="T83" s="112"/>
      <c r="U83" s="112"/>
      <c r="V83" s="112"/>
    </row>
    <row r="84" spans="1:22" ht="16.5" customHeight="1" x14ac:dyDescent="0.2">
      <c r="A84" s="112"/>
      <c r="B84" s="114"/>
      <c r="C84" s="135" t="s">
        <v>74</v>
      </c>
      <c r="D84" s="136"/>
      <c r="E84" s="137" t="s">
        <v>75</v>
      </c>
      <c r="F84" s="116"/>
      <c r="G84" s="116"/>
      <c r="H84" s="116"/>
      <c r="I84" s="116"/>
      <c r="J84" s="116"/>
      <c r="K84" s="116"/>
      <c r="L84" s="116"/>
      <c r="M84" s="116"/>
      <c r="N84" s="116"/>
      <c r="O84" s="111"/>
      <c r="P84" s="111"/>
      <c r="Q84" s="111"/>
      <c r="R84" s="111"/>
      <c r="S84" s="111"/>
      <c r="T84" s="112"/>
      <c r="U84" s="112"/>
      <c r="V84" s="112"/>
    </row>
    <row r="85" spans="1:22" ht="16.5" customHeight="1" x14ac:dyDescent="0.2">
      <c r="A85" s="112"/>
      <c r="B85" s="114"/>
      <c r="C85" s="135" t="s">
        <v>76</v>
      </c>
      <c r="D85" s="136"/>
      <c r="E85" s="137" t="s">
        <v>77</v>
      </c>
      <c r="F85" s="116"/>
      <c r="G85" s="116"/>
      <c r="H85" s="116"/>
      <c r="I85" s="116"/>
      <c r="J85" s="116"/>
      <c r="K85" s="116"/>
      <c r="L85" s="116"/>
      <c r="M85" s="116"/>
      <c r="N85" s="116"/>
      <c r="O85" s="111"/>
      <c r="P85" s="111"/>
      <c r="Q85" s="111"/>
      <c r="R85" s="111"/>
      <c r="S85" s="111"/>
      <c r="T85" s="112"/>
      <c r="U85" s="112"/>
      <c r="V85" s="112"/>
    </row>
    <row r="86" spans="1:22" ht="16.5" customHeight="1" x14ac:dyDescent="0.2">
      <c r="A86" s="112"/>
      <c r="B86" s="114"/>
      <c r="C86" s="135" t="s">
        <v>78</v>
      </c>
      <c r="D86" s="136"/>
      <c r="E86" s="137" t="s">
        <v>79</v>
      </c>
      <c r="F86" s="116"/>
      <c r="G86" s="116"/>
      <c r="H86" s="116"/>
      <c r="I86" s="116"/>
      <c r="J86" s="116"/>
      <c r="K86" s="116"/>
      <c r="L86" s="116"/>
      <c r="M86" s="116"/>
      <c r="N86" s="116"/>
      <c r="O86" s="111"/>
      <c r="P86" s="111"/>
      <c r="Q86" s="111"/>
      <c r="R86" s="111"/>
      <c r="S86" s="111"/>
      <c r="T86" s="112"/>
      <c r="U86" s="112"/>
      <c r="V86" s="112"/>
    </row>
    <row r="87" spans="1:22" ht="16.5" customHeight="1" thickBot="1" x14ac:dyDescent="0.25">
      <c r="A87" s="112"/>
      <c r="B87" s="114"/>
      <c r="C87" s="138" t="s">
        <v>80</v>
      </c>
      <c r="D87" s="139"/>
      <c r="E87" s="140" t="s">
        <v>19</v>
      </c>
      <c r="F87" s="114"/>
      <c r="G87" s="114"/>
      <c r="H87" s="114"/>
      <c r="I87" s="114"/>
      <c r="J87" s="114"/>
      <c r="K87" s="114"/>
      <c r="L87" s="114"/>
      <c r="M87" s="114"/>
      <c r="N87" s="114"/>
      <c r="O87" s="112"/>
      <c r="P87" s="112"/>
      <c r="Q87" s="112"/>
      <c r="R87" s="112"/>
      <c r="S87" s="112"/>
      <c r="T87" s="112"/>
      <c r="U87" s="112"/>
      <c r="V87" s="112"/>
    </row>
    <row r="88" spans="1:22" x14ac:dyDescent="0.2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</row>
    <row r="89" spans="1:22" x14ac:dyDescent="0.2">
      <c r="A89" s="112"/>
      <c r="B89" s="240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9" t="s">
        <v>81</v>
      </c>
      <c r="O89" s="222"/>
      <c r="P89" s="222"/>
      <c r="Q89" s="222"/>
      <c r="R89" s="222"/>
      <c r="S89" s="222"/>
      <c r="T89" s="222"/>
      <c r="U89" s="222"/>
      <c r="V89" s="112"/>
    </row>
    <row r="90" spans="1:22" x14ac:dyDescent="0.2">
      <c r="A90" s="112"/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112"/>
    </row>
    <row r="91" spans="1:22" x14ac:dyDescent="0.2">
      <c r="A91" s="112"/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112"/>
    </row>
    <row r="92" spans="1:22" x14ac:dyDescent="0.2">
      <c r="A92" s="112"/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112"/>
    </row>
    <row r="93" spans="1:22" x14ac:dyDescent="0.2">
      <c r="A93" s="112"/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112"/>
    </row>
    <row r="94" spans="1:22" x14ac:dyDescent="0.2">
      <c r="A94" s="112"/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112"/>
    </row>
    <row r="95" spans="1:22" x14ac:dyDescent="0.2">
      <c r="A95" s="112"/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112"/>
    </row>
  </sheetData>
  <mergeCells count="30">
    <mergeCell ref="C29:E29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F26:H26"/>
    <mergeCell ref="B3:U3"/>
    <mergeCell ref="C12:E12"/>
    <mergeCell ref="Q8:R8"/>
    <mergeCell ref="J16:L16"/>
    <mergeCell ref="F22:H22"/>
    <mergeCell ref="N12:O12"/>
    <mergeCell ref="M20:N20"/>
    <mergeCell ref="F20:H20"/>
    <mergeCell ref="G12:H12"/>
    <mergeCell ref="F18:H18"/>
    <mergeCell ref="N16:O16"/>
    <mergeCell ref="F8:H8"/>
  </mergeCells>
  <dataValidations count="2">
    <dataValidation type="list" allowBlank="1" showInputMessage="1" showErrorMessage="1" sqref="S8 S10" xr:uid="{00000000-0002-0000-0000-000000000000}">
      <formula1>$E$79:$E$87</formula1>
    </dataValidation>
    <dataValidation type="list" allowBlank="1" showInputMessage="1" showErrorMessage="1" sqref="C12:E12" xr:uid="{00000000-0002-0000-0000-000001000000}">
      <formula1>$AD$6:$AD$8</formula1>
    </dataValidation>
  </dataValidations>
  <hyperlinks>
    <hyperlink ref="C73" r:id="rId1" xr:uid="{00000000-0004-0000-0000-000000000000}"/>
    <hyperlink ref="J73" r:id="rId2" xr:uid="{00000000-0004-0000-0000-000001000000}"/>
  </hyperlinks>
  <printOptions horizontalCentered="1" verticalCentered="1"/>
  <pageMargins left="0.25" right="0.25" top="0.75" bottom="0.5" header="0.5" footer="0.5"/>
  <pageSetup paperSize="9" orientation="portrait" horizontalDpi="4294967292" verticalDpi="429496729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0"/>
  <sheetViews>
    <sheetView showGridLines="0" topLeftCell="E1" zoomScaleNormal="100" workbookViewId="0">
      <selection activeCell="L26" sqref="L26:M26"/>
    </sheetView>
  </sheetViews>
  <sheetFormatPr defaultColWidth="8.625" defaultRowHeight="12.75" x14ac:dyDescent="0.2"/>
  <cols>
    <col min="1" max="1" width="1.125" style="10" customWidth="1"/>
    <col min="2" max="2" width="11.5" style="10" customWidth="1"/>
    <col min="3" max="8" width="12.625" style="10" customWidth="1"/>
    <col min="9" max="9" width="15.625" style="10" customWidth="1"/>
    <col min="10" max="15" width="12.625" style="10" customWidth="1"/>
    <col min="16" max="16" width="3.625" style="10" customWidth="1"/>
    <col min="17" max="17" width="9.625" style="10" customWidth="1"/>
    <col min="18" max="19" width="8.625" style="10" customWidth="1"/>
    <col min="20" max="20" width="9.125" style="10" customWidth="1"/>
    <col min="21" max="21" width="3.125" style="10" customWidth="1"/>
    <col min="22" max="22" width="1.5" style="10" customWidth="1"/>
    <col min="23" max="28" width="8.625" style="10" customWidth="1"/>
    <col min="29" max="29" width="8.625" style="48" customWidth="1"/>
    <col min="30" max="31" width="27.5" style="48" hidden="1" customWidth="1"/>
    <col min="32" max="32" width="29.75" style="48" hidden="1" customWidth="1"/>
    <col min="33" max="33" width="30.875" style="48" hidden="1" customWidth="1"/>
    <col min="34" max="34" width="29" style="48" hidden="1" customWidth="1"/>
    <col min="35" max="35" width="27.75" style="48" hidden="1" customWidth="1"/>
    <col min="36" max="36" width="8.625" style="48" customWidth="1"/>
    <col min="37" max="37" width="8.625" style="10" customWidth="1"/>
    <col min="38" max="16384" width="8.625" style="10"/>
  </cols>
  <sheetData>
    <row r="1" spans="1:36" ht="7.5" customHeight="1" thickBot="1" x14ac:dyDescent="0.35">
      <c r="A1" s="57"/>
      <c r="B1" s="57"/>
      <c r="C1" s="58"/>
      <c r="D1" s="58"/>
      <c r="E1" s="58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7"/>
      <c r="U1" s="57"/>
      <c r="V1" s="57"/>
    </row>
    <row r="2" spans="1:36" ht="41.25" customHeight="1" x14ac:dyDescent="0.4">
      <c r="A2" s="57"/>
      <c r="B2" s="232" t="str">
        <f>"Intrinsic Value Calculator ("&amp;VLOOKUP(C12,AD6:AI8,6,FALSE)&amp;" 10 years)"</f>
        <v>Intrinsic Value Calculator (Discounted Net Income Method 10 years)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4"/>
      <c r="V2" s="57"/>
    </row>
    <row r="3" spans="1:36" ht="41.25" customHeight="1" x14ac:dyDescent="0.2">
      <c r="A3" s="57"/>
      <c r="B3" s="221" t="s">
        <v>0</v>
      </c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23"/>
      <c r="V3" s="57"/>
      <c r="AC3" s="183"/>
      <c r="AD3" s="183"/>
      <c r="AE3" s="183"/>
      <c r="AF3" s="183"/>
      <c r="AG3" s="183"/>
      <c r="AH3" s="183"/>
      <c r="AI3" s="183"/>
      <c r="AJ3" s="183"/>
    </row>
    <row r="4" spans="1:36" ht="5.25" customHeight="1" thickBot="1" x14ac:dyDescent="0.25">
      <c r="A4" s="57"/>
      <c r="B4" s="53"/>
      <c r="C4" s="54"/>
      <c r="D4" s="54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4"/>
      <c r="U4" s="56"/>
      <c r="V4" s="57"/>
    </row>
    <row r="5" spans="1:36" ht="11.25" customHeight="1" x14ac:dyDescent="0.2">
      <c r="A5" s="57"/>
      <c r="B5" s="60"/>
      <c r="C5" s="61"/>
      <c r="D5" s="61"/>
      <c r="E5" s="61"/>
      <c r="F5" s="62"/>
      <c r="G5" s="62"/>
      <c r="H5" s="62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65"/>
      <c r="V5" s="57"/>
    </row>
    <row r="6" spans="1:36" ht="30.95" customHeight="1" x14ac:dyDescent="0.3">
      <c r="A6" s="57"/>
      <c r="B6" s="60"/>
      <c r="C6" s="110" t="s">
        <v>1</v>
      </c>
      <c r="D6" s="66"/>
      <c r="E6" s="66"/>
      <c r="F6" s="67"/>
      <c r="G6" s="67"/>
      <c r="H6" s="68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1"/>
      <c r="U6" s="65"/>
      <c r="V6" s="57"/>
      <c r="AD6" s="48" t="s">
        <v>2</v>
      </c>
      <c r="AE6" s="48" t="s">
        <v>3</v>
      </c>
      <c r="AF6" s="48" t="s">
        <v>4</v>
      </c>
      <c r="AG6" s="48" t="s">
        <v>5</v>
      </c>
      <c r="AH6" s="48" t="s">
        <v>6</v>
      </c>
      <c r="AI6" s="48" t="s">
        <v>7</v>
      </c>
    </row>
    <row r="7" spans="1:36" ht="8.1" customHeight="1" x14ac:dyDescent="0.2">
      <c r="A7" s="57"/>
      <c r="B7" s="60"/>
      <c r="C7" s="70"/>
      <c r="D7" s="70"/>
      <c r="E7" s="70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1"/>
      <c r="U7" s="65"/>
      <c r="V7" s="57"/>
      <c r="AD7" s="48" t="s">
        <v>9</v>
      </c>
      <c r="AE7" s="48" t="s">
        <v>10</v>
      </c>
      <c r="AF7" s="48" t="s">
        <v>11</v>
      </c>
      <c r="AG7" s="48" t="s">
        <v>12</v>
      </c>
      <c r="AH7" s="48" t="s">
        <v>13</v>
      </c>
      <c r="AI7" s="48" t="s">
        <v>14</v>
      </c>
    </row>
    <row r="8" spans="1:36" ht="24.95" customHeight="1" x14ac:dyDescent="0.2">
      <c r="A8" s="57"/>
      <c r="B8" s="60"/>
      <c r="C8" s="89" t="s">
        <v>16</v>
      </c>
      <c r="D8" s="90"/>
      <c r="E8" s="91"/>
      <c r="F8" s="242" t="s">
        <v>17</v>
      </c>
      <c r="G8" s="215"/>
      <c r="H8" s="216"/>
      <c r="I8" s="71"/>
      <c r="J8" s="95" t="str">
        <f>"PV of 10 yr "&amp;VLOOKUP(C12,AD6:AI8,2,FALSE)</f>
        <v>PV of 10 yr Net Income</v>
      </c>
      <c r="K8" s="83"/>
      <c r="L8" s="83"/>
      <c r="M8" s="210" t="str">
        <f>$S$8</f>
        <v>USD$</v>
      </c>
      <c r="N8" s="236">
        <f>SUM(F31:O31)</f>
        <v>1100265.7137443812</v>
      </c>
      <c r="O8" s="216"/>
      <c r="P8" s="61"/>
      <c r="Q8" s="225" t="s">
        <v>18</v>
      </c>
      <c r="R8" s="216"/>
      <c r="S8" s="188" t="s">
        <v>19</v>
      </c>
      <c r="T8" s="61"/>
      <c r="U8" s="65"/>
      <c r="V8" s="57"/>
      <c r="AD8" s="48" t="s">
        <v>20</v>
      </c>
      <c r="AE8" s="48" t="s">
        <v>21</v>
      </c>
      <c r="AF8" s="48" t="s">
        <v>22</v>
      </c>
      <c r="AG8" s="48" t="s">
        <v>23</v>
      </c>
      <c r="AH8" s="48" t="s">
        <v>24</v>
      </c>
      <c r="AI8" s="48" t="s">
        <v>25</v>
      </c>
    </row>
    <row r="9" spans="1:36" ht="3.95" customHeight="1" x14ac:dyDescent="0.2">
      <c r="A9" s="57"/>
      <c r="B9" s="60"/>
      <c r="C9" s="92"/>
      <c r="D9" s="92"/>
      <c r="E9" s="92"/>
      <c r="F9" s="190"/>
      <c r="G9" s="190"/>
      <c r="H9" s="187"/>
      <c r="I9" s="69"/>
      <c r="J9" s="93"/>
      <c r="K9" s="69"/>
      <c r="L9" s="69"/>
      <c r="M9" s="202"/>
      <c r="N9" s="203"/>
      <c r="O9" s="203"/>
      <c r="P9" s="61"/>
      <c r="Q9" s="187"/>
      <c r="R9" s="187"/>
      <c r="S9" s="187"/>
      <c r="T9" s="61"/>
      <c r="U9" s="65"/>
      <c r="V9" s="57"/>
    </row>
    <row r="10" spans="1:36" ht="24.95" customHeight="1" x14ac:dyDescent="0.2">
      <c r="A10" s="57"/>
      <c r="B10" s="60"/>
      <c r="C10" s="89" t="s">
        <v>27</v>
      </c>
      <c r="D10" s="90"/>
      <c r="E10" s="90"/>
      <c r="F10" s="239" t="s">
        <v>28</v>
      </c>
      <c r="G10" s="215"/>
      <c r="H10" s="216"/>
      <c r="I10" s="69"/>
      <c r="J10" s="89" t="s">
        <v>29</v>
      </c>
      <c r="K10" s="83"/>
      <c r="L10" s="83"/>
      <c r="M10" s="210" t="str">
        <f>$S$8</f>
        <v>USD$</v>
      </c>
      <c r="N10" s="227">
        <f>IF(F26&lt;&gt;0,N8/F26,0)</f>
        <v>74.912442630544348</v>
      </c>
      <c r="O10" s="216"/>
      <c r="P10" s="61"/>
      <c r="Q10" s="225" t="s">
        <v>30</v>
      </c>
      <c r="R10" s="216"/>
      <c r="S10" s="188" t="s">
        <v>19</v>
      </c>
      <c r="T10" s="61"/>
      <c r="U10" s="65"/>
      <c r="V10" s="57"/>
    </row>
    <row r="11" spans="1:36" ht="3.95" customHeight="1" x14ac:dyDescent="0.2">
      <c r="A11" s="57"/>
      <c r="B11" s="60"/>
      <c r="C11" s="93"/>
      <c r="D11" s="93"/>
      <c r="E11" s="93"/>
      <c r="F11" s="76"/>
      <c r="G11" s="76"/>
      <c r="H11" s="75"/>
      <c r="I11" s="61"/>
      <c r="J11" s="96"/>
      <c r="K11" s="61"/>
      <c r="L11" s="61"/>
      <c r="M11" s="202"/>
      <c r="N11" s="204"/>
      <c r="O11" s="204"/>
      <c r="P11" s="61"/>
      <c r="Q11" s="75"/>
      <c r="R11" s="75"/>
      <c r="S11" s="75"/>
      <c r="T11" s="61"/>
      <c r="U11" s="65"/>
      <c r="V11" s="57"/>
    </row>
    <row r="12" spans="1:36" ht="24.95" customHeight="1" x14ac:dyDescent="0.2">
      <c r="A12" s="57"/>
      <c r="B12" s="74"/>
      <c r="C12" s="224" t="s">
        <v>9</v>
      </c>
      <c r="D12" s="215"/>
      <c r="E12" s="216"/>
      <c r="F12" s="191" t="str">
        <f>S8</f>
        <v>USD$</v>
      </c>
      <c r="G12" s="217">
        <v>112010</v>
      </c>
      <c r="H12" s="216"/>
      <c r="I12" s="61"/>
      <c r="J12" s="89" t="s">
        <v>32</v>
      </c>
      <c r="K12" s="83"/>
      <c r="L12" s="83"/>
      <c r="M12" s="210" t="str">
        <f>$S$8</f>
        <v>USD$</v>
      </c>
      <c r="N12" s="227">
        <f>IF(F26&lt;&gt;0,G14/F26,0)</f>
        <v>5.7676139939686895</v>
      </c>
      <c r="O12" s="216"/>
      <c r="P12" s="61"/>
      <c r="Q12" s="61"/>
      <c r="R12" s="61"/>
      <c r="S12" s="61"/>
      <c r="T12" s="61"/>
      <c r="U12" s="65"/>
      <c r="V12" s="57"/>
    </row>
    <row r="13" spans="1:36" ht="3.95" customHeight="1" x14ac:dyDescent="0.2">
      <c r="A13" s="57"/>
      <c r="B13" s="60"/>
      <c r="C13" s="94"/>
      <c r="D13" s="94"/>
      <c r="E13" s="94"/>
      <c r="F13" s="76"/>
      <c r="G13" s="208"/>
      <c r="H13" s="209"/>
      <c r="I13" s="61"/>
      <c r="J13" s="96"/>
      <c r="K13" s="73"/>
      <c r="L13" s="73"/>
      <c r="M13" s="202"/>
      <c r="N13" s="204"/>
      <c r="O13" s="204"/>
      <c r="P13" s="61"/>
      <c r="Q13" s="61"/>
      <c r="R13" s="61"/>
      <c r="S13" s="61"/>
      <c r="T13" s="61"/>
      <c r="U13" s="65"/>
      <c r="V13" s="57"/>
    </row>
    <row r="14" spans="1:36" ht="24.95" customHeight="1" x14ac:dyDescent="0.2">
      <c r="A14" s="57"/>
      <c r="B14" s="74"/>
      <c r="C14" s="89" t="s">
        <v>33</v>
      </c>
      <c r="D14" s="90"/>
      <c r="E14" s="91"/>
      <c r="F14" s="191" t="str">
        <f>S8</f>
        <v>USD$</v>
      </c>
      <c r="G14" s="217">
        <v>84711</v>
      </c>
      <c r="H14" s="216"/>
      <c r="I14" s="61"/>
      <c r="J14" s="89" t="s">
        <v>34</v>
      </c>
      <c r="K14" s="83"/>
      <c r="L14" s="83"/>
      <c r="M14" s="210" t="str">
        <f>$S$8</f>
        <v>USD$</v>
      </c>
      <c r="N14" s="227">
        <f>IF(F26&lt;&gt;0,G16/F26,0)</f>
        <v>4.6643521134777428</v>
      </c>
      <c r="O14" s="216"/>
      <c r="P14" s="61"/>
      <c r="Q14" s="61"/>
      <c r="R14" s="61"/>
      <c r="S14" s="61"/>
      <c r="T14" s="61"/>
      <c r="U14" s="65"/>
      <c r="V14" s="57"/>
    </row>
    <row r="15" spans="1:36" ht="3.95" customHeight="1" x14ac:dyDescent="0.2">
      <c r="A15" s="57"/>
      <c r="B15" s="60"/>
      <c r="C15" s="94"/>
      <c r="D15" s="94"/>
      <c r="E15" s="94"/>
      <c r="F15" s="76"/>
      <c r="G15" s="208"/>
      <c r="H15" s="209"/>
      <c r="I15" s="61"/>
      <c r="J15" s="96"/>
      <c r="K15" s="73"/>
      <c r="L15" s="73"/>
      <c r="M15" s="202"/>
      <c r="N15" s="204"/>
      <c r="O15" s="204"/>
      <c r="P15" s="61"/>
      <c r="Q15" s="61"/>
      <c r="R15" s="61"/>
      <c r="S15" s="61"/>
      <c r="T15" s="61"/>
      <c r="U15" s="65"/>
      <c r="V15" s="57"/>
    </row>
    <row r="16" spans="1:36" ht="24.95" customHeight="1" x14ac:dyDescent="0.2">
      <c r="A16" s="57"/>
      <c r="B16" s="74"/>
      <c r="C16" s="89" t="s">
        <v>35</v>
      </c>
      <c r="D16" s="90"/>
      <c r="E16" s="91"/>
      <c r="F16" s="191" t="str">
        <f>S8</f>
        <v>USD$</v>
      </c>
      <c r="G16" s="217">
        <v>68507</v>
      </c>
      <c r="H16" s="216"/>
      <c r="I16" s="61"/>
      <c r="J16" s="226" t="s">
        <v>36</v>
      </c>
      <c r="K16" s="215"/>
      <c r="L16" s="215"/>
      <c r="M16" s="211" t="str">
        <f>$S$8</f>
        <v>USD$</v>
      </c>
      <c r="N16" s="218">
        <f>N10-N12+N14</f>
        <v>73.8091807500534</v>
      </c>
      <c r="O16" s="216"/>
      <c r="P16" s="61"/>
      <c r="Q16" s="205" t="str">
        <f>"1 "&amp;S8&amp;" = "</f>
        <v xml:space="preserve">1 USD$ = </v>
      </c>
      <c r="R16" s="195">
        <v>1</v>
      </c>
      <c r="S16" s="193" t="str">
        <f>S10</f>
        <v>USD$</v>
      </c>
      <c r="T16" s="61"/>
      <c r="U16" s="65"/>
      <c r="V16" s="57"/>
    </row>
    <row r="17" spans="1:22" ht="3.95" customHeight="1" x14ac:dyDescent="0.2">
      <c r="A17" s="57"/>
      <c r="B17" s="60"/>
      <c r="C17" s="94"/>
      <c r="D17" s="94"/>
      <c r="E17" s="94"/>
      <c r="F17" s="76"/>
      <c r="G17" s="76"/>
      <c r="H17" s="75"/>
      <c r="I17" s="61"/>
      <c r="J17" s="189"/>
      <c r="K17" s="189"/>
      <c r="L17" s="189"/>
      <c r="M17" s="202"/>
      <c r="N17" s="204"/>
      <c r="O17" s="204"/>
      <c r="P17" s="61"/>
      <c r="Q17" s="61"/>
      <c r="R17" s="61"/>
      <c r="S17" s="61"/>
      <c r="T17" s="61"/>
      <c r="U17" s="65"/>
      <c r="V17" s="57"/>
    </row>
    <row r="18" spans="1:22" ht="24.95" customHeight="1" x14ac:dyDescent="0.2">
      <c r="A18" s="57"/>
      <c r="B18" s="60"/>
      <c r="C18" s="89" t="str">
        <f>VLOOKUP(C12,AD6:AI8,3,FALSE)</f>
        <v>Net Income Growth Rate (Yr 1 - 5)</v>
      </c>
      <c r="D18" s="90"/>
      <c r="E18" s="91"/>
      <c r="F18" s="214">
        <v>6.8806793895618057E-2</v>
      </c>
      <c r="G18" s="215"/>
      <c r="H18" s="216"/>
      <c r="I18" s="61"/>
      <c r="J18" s="226" t="s">
        <v>38</v>
      </c>
      <c r="K18" s="215"/>
      <c r="L18" s="215"/>
      <c r="M18" s="206" t="str">
        <f>$S$10</f>
        <v>USD$</v>
      </c>
      <c r="N18" s="231">
        <f>N16*R16</f>
        <v>73.8091807500534</v>
      </c>
      <c r="O18" s="216"/>
      <c r="P18" s="61"/>
      <c r="Q18" s="61"/>
      <c r="R18" s="61"/>
      <c r="S18" s="61"/>
      <c r="T18" s="61"/>
      <c r="U18" s="65"/>
      <c r="V18" s="57"/>
    </row>
    <row r="19" spans="1:22" ht="3.95" customHeight="1" x14ac:dyDescent="0.2">
      <c r="A19" s="57"/>
      <c r="B19" s="60"/>
      <c r="C19" s="61"/>
      <c r="D19" s="61"/>
      <c r="E19" s="61"/>
      <c r="F19" s="76"/>
      <c r="G19" s="76">
        <v>15</v>
      </c>
      <c r="H19" s="75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5"/>
      <c r="V19" s="57"/>
    </row>
    <row r="20" spans="1:22" ht="24.95" customHeight="1" x14ac:dyDescent="0.2">
      <c r="A20" s="57"/>
      <c r="B20" s="60"/>
      <c r="C20" s="89" t="str">
        <f>VLOOKUP(C12,AD6:AI8,4,FALSE)</f>
        <v>Net Income Growth Rate (Yr 6 - 10)</v>
      </c>
      <c r="D20" s="90"/>
      <c r="E20" s="91"/>
      <c r="F20" s="214">
        <v>3.4403396947809028E-2</v>
      </c>
      <c r="G20" s="215"/>
      <c r="H20" s="216"/>
      <c r="I20" s="72"/>
      <c r="J20" s="89" t="s">
        <v>39</v>
      </c>
      <c r="K20" s="84"/>
      <c r="L20" s="85"/>
      <c r="M20" s="228">
        <f>M22/N18-1</f>
        <v>3.2720973748782693</v>
      </c>
      <c r="N20" s="216"/>
      <c r="O20" s="61"/>
      <c r="P20" s="61"/>
      <c r="Q20" s="61"/>
      <c r="R20" s="61"/>
      <c r="S20" s="61"/>
      <c r="T20" s="61"/>
      <c r="U20" s="65"/>
      <c r="V20" s="57"/>
    </row>
    <row r="21" spans="1:22" ht="3.95" customHeight="1" x14ac:dyDescent="0.2">
      <c r="A21" s="57"/>
      <c r="B21" s="60"/>
      <c r="C21" s="61"/>
      <c r="D21" s="61"/>
      <c r="E21" s="61"/>
      <c r="F21" s="75"/>
      <c r="G21" s="75"/>
      <c r="H21" s="75"/>
      <c r="I21" s="61"/>
      <c r="J21" s="96"/>
      <c r="K21" s="76"/>
      <c r="L21" s="76"/>
      <c r="M21" s="75"/>
      <c r="N21" s="75"/>
      <c r="O21" s="61"/>
      <c r="P21" s="61"/>
      <c r="Q21" s="61"/>
      <c r="R21" s="61"/>
      <c r="S21" s="61"/>
      <c r="T21" s="61"/>
      <c r="U21" s="65"/>
      <c r="V21" s="57"/>
    </row>
    <row r="22" spans="1:22" ht="24.95" customHeight="1" x14ac:dyDescent="0.2">
      <c r="A22" s="57"/>
      <c r="B22" s="60"/>
      <c r="C22" s="72"/>
      <c r="D22" s="72"/>
      <c r="E22" s="72"/>
      <c r="F22" s="192"/>
      <c r="G22" s="192"/>
      <c r="H22" s="75"/>
      <c r="I22" s="61"/>
      <c r="J22" s="89" t="s">
        <v>40</v>
      </c>
      <c r="K22" s="97"/>
      <c r="L22" s="191" t="str">
        <f>$S$10</f>
        <v>USD$</v>
      </c>
      <c r="M22" s="243">
        <v>315.32000732421881</v>
      </c>
      <c r="N22" s="216"/>
      <c r="O22" s="61"/>
      <c r="P22" s="61"/>
      <c r="Q22" s="61"/>
      <c r="R22" s="61"/>
      <c r="S22" s="61"/>
      <c r="T22" s="61"/>
      <c r="U22" s="65"/>
      <c r="V22" s="57"/>
    </row>
    <row r="23" spans="1:22" ht="3.95" customHeight="1" x14ac:dyDescent="0.2">
      <c r="A23" s="57"/>
      <c r="B23" s="60"/>
      <c r="C23" s="72"/>
      <c r="D23" s="72"/>
      <c r="E23" s="72"/>
      <c r="F23" s="192"/>
      <c r="G23" s="192"/>
      <c r="H23" s="75"/>
      <c r="I23" s="61"/>
      <c r="J23" s="96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5"/>
      <c r="V23" s="57"/>
    </row>
    <row r="24" spans="1:22" ht="24.95" customHeight="1" x14ac:dyDescent="0.2">
      <c r="A24" s="57"/>
      <c r="B24" s="60"/>
      <c r="C24" s="72"/>
      <c r="D24" s="72"/>
      <c r="E24" s="72"/>
      <c r="F24" s="192"/>
      <c r="G24" s="192"/>
      <c r="H24" s="75"/>
      <c r="I24" s="61"/>
      <c r="J24" s="89" t="s">
        <v>41</v>
      </c>
      <c r="K24" s="88"/>
      <c r="L24" s="230">
        <v>2026</v>
      </c>
      <c r="M24" s="216"/>
      <c r="N24" s="82" t="s">
        <v>42</v>
      </c>
      <c r="O24" s="61"/>
      <c r="P24" s="61"/>
      <c r="Q24" s="61"/>
      <c r="R24" s="61"/>
      <c r="S24" s="61"/>
      <c r="T24" s="61"/>
      <c r="U24" s="65"/>
      <c r="V24" s="57"/>
    </row>
    <row r="25" spans="1:22" ht="3.95" customHeight="1" x14ac:dyDescent="0.2">
      <c r="A25" s="57"/>
      <c r="B25" s="60"/>
      <c r="C25" s="72"/>
      <c r="D25" s="72"/>
      <c r="E25" s="72"/>
      <c r="F25" s="192"/>
      <c r="G25" s="192"/>
      <c r="H25" s="75"/>
      <c r="I25" s="61"/>
      <c r="J25" s="92"/>
      <c r="K25" s="77"/>
      <c r="L25" s="61"/>
      <c r="M25" s="61"/>
      <c r="N25" s="61"/>
      <c r="O25" s="61"/>
      <c r="P25" s="61"/>
      <c r="Q25" s="61"/>
      <c r="R25" s="61"/>
      <c r="S25" s="61"/>
      <c r="T25" s="61"/>
      <c r="U25" s="65"/>
      <c r="V25" s="57"/>
    </row>
    <row r="26" spans="1:22" ht="24.95" customHeight="1" x14ac:dyDescent="0.2">
      <c r="A26" s="57"/>
      <c r="B26" s="60"/>
      <c r="C26" s="86" t="s">
        <v>44</v>
      </c>
      <c r="D26" s="97"/>
      <c r="E26" s="87"/>
      <c r="F26" s="220">
        <v>14687.356</v>
      </c>
      <c r="G26" s="215"/>
      <c r="H26" s="216"/>
      <c r="I26" s="61"/>
      <c r="J26" s="89" t="s">
        <v>45</v>
      </c>
      <c r="K26" s="88"/>
      <c r="L26" s="237">
        <v>6.2951599999999996E-2</v>
      </c>
      <c r="M26" s="216"/>
      <c r="N26" s="61"/>
      <c r="O26" s="61"/>
      <c r="P26" s="61"/>
      <c r="Q26" s="61"/>
      <c r="R26" s="61"/>
      <c r="S26" s="61"/>
      <c r="T26" s="61"/>
      <c r="U26" s="65"/>
      <c r="V26" s="57"/>
    </row>
    <row r="27" spans="1:22" ht="8.1" customHeight="1" x14ac:dyDescent="0.2">
      <c r="A27" s="57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5"/>
      <c r="V27" s="57"/>
    </row>
    <row r="28" spans="1:22" ht="18" customHeight="1" x14ac:dyDescent="0.2">
      <c r="A28" s="57"/>
      <c r="B28" s="60"/>
      <c r="C28" s="99" t="s">
        <v>46</v>
      </c>
      <c r="D28" s="100"/>
      <c r="E28" s="101"/>
      <c r="F28" s="102">
        <f>$L$24+1</f>
        <v>2027</v>
      </c>
      <c r="G28" s="102">
        <f>$L$24+2</f>
        <v>2028</v>
      </c>
      <c r="H28" s="102">
        <f>$L$24+3</f>
        <v>2029</v>
      </c>
      <c r="I28" s="102">
        <f>$L$24+4</f>
        <v>2030</v>
      </c>
      <c r="J28" s="102">
        <f>$L$24+5</f>
        <v>2031</v>
      </c>
      <c r="K28" s="102">
        <f>$L$24+6</f>
        <v>2032</v>
      </c>
      <c r="L28" s="102">
        <f>$L$24+7</f>
        <v>2033</v>
      </c>
      <c r="M28" s="102">
        <f>$L$24+8</f>
        <v>2034</v>
      </c>
      <c r="N28" s="102">
        <f>$L$24+9</f>
        <v>2035</v>
      </c>
      <c r="O28" s="102">
        <f>$L$24+10</f>
        <v>2036</v>
      </c>
      <c r="P28" s="61"/>
      <c r="Q28" s="61"/>
      <c r="R28" s="61"/>
      <c r="S28" s="61"/>
      <c r="T28" s="61"/>
      <c r="U28" s="65"/>
      <c r="V28" s="57"/>
    </row>
    <row r="29" spans="1:22" ht="18" customHeight="1" x14ac:dyDescent="0.2">
      <c r="A29" s="57"/>
      <c r="B29" s="60"/>
      <c r="C29" s="238" t="str">
        <f>VLOOKUP(C12,AD6:AI8,5,FALSE)</f>
        <v>Net Income (Projected)</v>
      </c>
      <c r="D29" s="215"/>
      <c r="E29" s="216"/>
      <c r="F29" s="98">
        <f>(G12)*(1+F18)</f>
        <v>119717.04898424818</v>
      </c>
      <c r="G29" s="98">
        <f>($F29)*(1+$F$18)</f>
        <v>127954.39529949895</v>
      </c>
      <c r="H29" s="98">
        <f>(G$29)*(1+$F$18)</f>
        <v>136758.52700491002</v>
      </c>
      <c r="I29" s="98">
        <f>(H$29)*(1+$F$18)</f>
        <v>146168.44278600518</v>
      </c>
      <c r="J29" s="98">
        <f>(I$29)*(1+$F$18)</f>
        <v>156225.82470282528</v>
      </c>
      <c r="K29" s="98">
        <f>(J$29)*(1+$F$20)</f>
        <v>161600.52376357542</v>
      </c>
      <c r="L29" s="98">
        <f>(K$29)*(1+$F$20)</f>
        <v>167160.13072958754</v>
      </c>
      <c r="M29" s="98">
        <f>(L$29)*(1+$F$20)</f>
        <v>172911.00706092519</v>
      </c>
      <c r="N29" s="98">
        <f>(M$29)*(1+$F$20)</f>
        <v>178859.73307348762</v>
      </c>
      <c r="O29" s="98">
        <f>(N$29)*(1+$F$20)</f>
        <v>185013.11546839398</v>
      </c>
      <c r="P29" s="61"/>
      <c r="Q29" s="61"/>
      <c r="R29" s="61"/>
      <c r="S29" s="61"/>
      <c r="T29" s="61"/>
      <c r="U29" s="65"/>
      <c r="V29" s="57"/>
    </row>
    <row r="30" spans="1:22" ht="18" customHeight="1" x14ac:dyDescent="0.2">
      <c r="A30" s="57"/>
      <c r="B30" s="60"/>
      <c r="C30" s="103" t="s">
        <v>47</v>
      </c>
      <c r="D30" s="104"/>
      <c r="E30" s="105"/>
      <c r="F30" s="78">
        <f>1/(1+$L$26)</f>
        <v>0.94077660732624147</v>
      </c>
      <c r="G30" s="78">
        <f t="shared" ref="G30:O30" si="0">F$30/(1+$L$26)</f>
        <v>0.88506062489227311</v>
      </c>
      <c r="H30" s="78">
        <f t="shared" si="0"/>
        <v>0.83264433196419596</v>
      </c>
      <c r="I30" s="78">
        <f t="shared" si="0"/>
        <v>0.78333230973470103</v>
      </c>
      <c r="J30" s="78">
        <f t="shared" si="0"/>
        <v>0.73694071276124062</v>
      </c>
      <c r="K30" s="78">
        <f t="shared" si="0"/>
        <v>0.69329658355210222</v>
      </c>
      <c r="L30" s="78">
        <f t="shared" si="0"/>
        <v>0.65223720774502081</v>
      </c>
      <c r="M30" s="78">
        <f t="shared" si="0"/>
        <v>0.61360950747430165</v>
      </c>
      <c r="N30" s="78">
        <f t="shared" si="0"/>
        <v>0.5772694706647995</v>
      </c>
      <c r="O30" s="78">
        <f t="shared" si="0"/>
        <v>0.54308161412504541</v>
      </c>
      <c r="P30" s="61"/>
      <c r="Q30" s="61"/>
      <c r="R30" s="61"/>
      <c r="S30" s="61"/>
      <c r="T30" s="61"/>
      <c r="U30" s="65"/>
      <c r="V30" s="57"/>
    </row>
    <row r="31" spans="1:22" ht="18" customHeight="1" x14ac:dyDescent="0.2">
      <c r="A31" s="57"/>
      <c r="B31" s="60"/>
      <c r="C31" s="106" t="s">
        <v>48</v>
      </c>
      <c r="D31" s="107"/>
      <c r="E31" s="108"/>
      <c r="F31" s="109">
        <f t="shared" ref="F31:O31" si="1">F29*F30</f>
        <v>112626.99918251047</v>
      </c>
      <c r="G31" s="109">
        <f t="shared" si="1"/>
        <v>113247.39706148747</v>
      </c>
      <c r="H31" s="109">
        <f t="shared" si="1"/>
        <v>113871.21235841076</v>
      </c>
      <c r="I31" s="109">
        <f t="shared" si="1"/>
        <v>114498.46389788593</v>
      </c>
      <c r="J31" s="109">
        <f t="shared" si="1"/>
        <v>115129.17060821269</v>
      </c>
      <c r="K31" s="109">
        <f t="shared" si="1"/>
        <v>112037.09102551715</v>
      </c>
      <c r="L31" s="109">
        <f t="shared" si="1"/>
        <v>109028.05691335883</v>
      </c>
      <c r="M31" s="109">
        <f t="shared" si="1"/>
        <v>106099.8378795398</v>
      </c>
      <c r="N31" s="109">
        <f t="shared" si="1"/>
        <v>103250.26343457952</v>
      </c>
      <c r="O31" s="109">
        <f t="shared" si="1"/>
        <v>100477.22138287881</v>
      </c>
      <c r="P31" s="61"/>
      <c r="Q31" s="61"/>
      <c r="R31" s="61"/>
      <c r="S31" s="61"/>
      <c r="T31" s="61"/>
      <c r="U31" s="65"/>
      <c r="V31" s="57"/>
    </row>
    <row r="32" spans="1:22" x14ac:dyDescent="0.2">
      <c r="A32" s="57"/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5"/>
      <c r="V32" s="57"/>
    </row>
    <row r="33" spans="1:22" x14ac:dyDescent="0.2">
      <c r="A33" s="57"/>
      <c r="B33" s="60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5"/>
      <c r="V33" s="57"/>
    </row>
    <row r="34" spans="1:22" x14ac:dyDescent="0.2">
      <c r="A34" s="57"/>
      <c r="B34" s="60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5"/>
      <c r="V34" s="57"/>
    </row>
    <row r="35" spans="1:22" x14ac:dyDescent="0.2">
      <c r="A35" s="57"/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5"/>
      <c r="V35" s="57"/>
    </row>
    <row r="36" spans="1:22" x14ac:dyDescent="0.2">
      <c r="A36" s="57"/>
      <c r="B36" s="60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5"/>
      <c r="V36" s="57"/>
    </row>
    <row r="37" spans="1:22" x14ac:dyDescent="0.2">
      <c r="A37" s="57"/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5"/>
      <c r="V37" s="57"/>
    </row>
    <row r="38" spans="1:22" x14ac:dyDescent="0.2">
      <c r="A38" s="57"/>
      <c r="B38" s="60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5"/>
      <c r="V38" s="57"/>
    </row>
    <row r="39" spans="1:22" x14ac:dyDescent="0.2">
      <c r="A39" s="57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5"/>
      <c r="V39" s="57"/>
    </row>
    <row r="40" spans="1:22" x14ac:dyDescent="0.2">
      <c r="A40" s="57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5"/>
      <c r="V40" s="57"/>
    </row>
    <row r="41" spans="1:22" x14ac:dyDescent="0.2">
      <c r="A41" s="57"/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5"/>
      <c r="V41" s="57"/>
    </row>
    <row r="42" spans="1:22" x14ac:dyDescent="0.2">
      <c r="A42" s="57"/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5"/>
      <c r="V42" s="57"/>
    </row>
    <row r="43" spans="1:22" x14ac:dyDescent="0.2">
      <c r="A43" s="57"/>
      <c r="B43" s="60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5"/>
      <c r="V43" s="57"/>
    </row>
    <row r="44" spans="1:22" x14ac:dyDescent="0.2">
      <c r="A44" s="57"/>
      <c r="B44" s="60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5"/>
      <c r="V44" s="57"/>
    </row>
    <row r="45" spans="1:22" x14ac:dyDescent="0.2">
      <c r="A45" s="57"/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5"/>
      <c r="V45" s="57"/>
    </row>
    <row r="46" spans="1:22" x14ac:dyDescent="0.2">
      <c r="A46" s="57"/>
      <c r="B46" s="60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5"/>
      <c r="V46" s="57"/>
    </row>
    <row r="47" spans="1:22" ht="13.5" customHeight="1" thickBot="1" x14ac:dyDescent="0.25">
      <c r="A47" s="57"/>
      <c r="B47" s="60"/>
      <c r="C47" s="61"/>
      <c r="D47" s="61"/>
      <c r="E47" s="61"/>
      <c r="F47" s="61"/>
      <c r="G47" s="61"/>
      <c r="H47" s="61"/>
      <c r="I47" s="79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5"/>
      <c r="V47" s="57"/>
    </row>
    <row r="48" spans="1:22" x14ac:dyDescent="0.2">
      <c r="A48" s="57"/>
      <c r="B48" s="60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5"/>
      <c r="V48" s="57"/>
    </row>
    <row r="49" spans="1:36" ht="13.5" customHeight="1" thickBot="1" x14ac:dyDescent="0.25">
      <c r="A49" s="57"/>
      <c r="B49" s="80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81"/>
      <c r="V49" s="57"/>
    </row>
    <row r="50" spans="1:36" x14ac:dyDescent="0.2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</row>
    <row r="51" spans="1:36" ht="18" customHeight="1" x14ac:dyDescent="0.25">
      <c r="A51" s="57"/>
      <c r="B51" s="114"/>
      <c r="C51" s="127" t="s">
        <v>49</v>
      </c>
      <c r="D51" s="115"/>
      <c r="E51" s="115"/>
      <c r="F51" s="116"/>
      <c r="G51" s="116"/>
      <c r="H51" s="116"/>
      <c r="I51" s="114"/>
      <c r="J51" s="127" t="s">
        <v>50</v>
      </c>
      <c r="K51" s="116"/>
      <c r="L51" s="116"/>
      <c r="M51" s="116"/>
      <c r="N51" s="116"/>
      <c r="O51" s="57"/>
      <c r="P51" s="57"/>
      <c r="Q51" s="57"/>
      <c r="R51" s="57"/>
      <c r="S51" s="57"/>
      <c r="T51" s="57"/>
      <c r="U51" s="57"/>
      <c r="V51" s="57"/>
      <c r="AC51" s="184"/>
      <c r="AD51" s="184"/>
      <c r="AE51" s="184"/>
      <c r="AF51" s="184"/>
      <c r="AG51" s="184"/>
      <c r="AH51" s="184"/>
      <c r="AI51" s="184"/>
      <c r="AJ51" s="184"/>
    </row>
    <row r="52" spans="1:36" ht="16.5" customHeight="1" thickBot="1" x14ac:dyDescent="0.3">
      <c r="A52" s="57"/>
      <c r="B52" s="114"/>
      <c r="C52" s="117"/>
      <c r="D52" s="118"/>
      <c r="E52" s="119"/>
      <c r="F52" s="116"/>
      <c r="G52" s="116"/>
      <c r="H52" s="116"/>
      <c r="I52" s="114"/>
      <c r="J52" s="119"/>
      <c r="K52" s="119"/>
      <c r="L52" s="116"/>
      <c r="M52" s="116"/>
      <c r="N52" s="116"/>
      <c r="O52" s="57"/>
      <c r="P52" s="57"/>
      <c r="Q52" s="57"/>
      <c r="R52" s="57"/>
      <c r="S52" s="57"/>
      <c r="T52" s="57"/>
      <c r="U52" s="57"/>
      <c r="V52" s="57"/>
    </row>
    <row r="53" spans="1:36" ht="25.5" customHeight="1" thickBot="1" x14ac:dyDescent="0.25">
      <c r="A53" s="57"/>
      <c r="B53" s="114"/>
      <c r="C53" s="120" t="s">
        <v>51</v>
      </c>
      <c r="D53" s="121"/>
      <c r="E53" s="121" t="s">
        <v>52</v>
      </c>
      <c r="F53" s="122"/>
      <c r="G53" s="116"/>
      <c r="H53" s="116"/>
      <c r="I53" s="114"/>
      <c r="J53" s="128" t="s">
        <v>51</v>
      </c>
      <c r="K53" s="129"/>
      <c r="L53" s="129" t="s">
        <v>52</v>
      </c>
      <c r="M53" s="130"/>
      <c r="N53" s="116"/>
      <c r="O53" s="111"/>
      <c r="P53" s="111"/>
      <c r="Q53" s="111"/>
      <c r="R53" s="111"/>
      <c r="S53" s="111"/>
      <c r="T53" s="57"/>
      <c r="U53" s="57"/>
      <c r="V53" s="57"/>
    </row>
    <row r="54" spans="1:36" s="43" customFormat="1" ht="15" customHeight="1" x14ac:dyDescent="0.2">
      <c r="A54" s="52"/>
      <c r="B54" s="123"/>
      <c r="C54" s="142" t="s">
        <v>53</v>
      </c>
      <c r="D54" s="143"/>
      <c r="E54" s="144">
        <f>E64+0.8*E65</f>
        <v>5.024E-2</v>
      </c>
      <c r="F54" s="133"/>
      <c r="G54" s="124"/>
      <c r="H54" s="124"/>
      <c r="I54" s="123"/>
      <c r="J54" s="142" t="s">
        <v>53</v>
      </c>
      <c r="K54" s="151"/>
      <c r="L54" s="152">
        <f>L64+0.8*L65</f>
        <v>6.5800000000000011E-2</v>
      </c>
      <c r="M54" s="133"/>
      <c r="N54" s="124"/>
      <c r="O54" s="113"/>
      <c r="P54" s="113"/>
      <c r="Q54" s="113"/>
      <c r="R54" s="113"/>
      <c r="S54" s="113"/>
      <c r="T54" s="52"/>
      <c r="U54" s="52"/>
      <c r="V54" s="52"/>
      <c r="AC54" s="185"/>
      <c r="AD54" s="185"/>
      <c r="AE54" s="185"/>
      <c r="AF54" s="185"/>
      <c r="AG54" s="185"/>
      <c r="AH54" s="185"/>
      <c r="AI54" s="185"/>
      <c r="AJ54" s="185"/>
    </row>
    <row r="55" spans="1:36" s="43" customFormat="1" ht="15" customHeight="1" x14ac:dyDescent="0.2">
      <c r="A55" s="52"/>
      <c r="B55" s="123"/>
      <c r="C55" s="145">
        <v>1</v>
      </c>
      <c r="D55" s="146"/>
      <c r="E55" s="147">
        <f>E64+C55*E65</f>
        <v>5.8799999999999998E-2</v>
      </c>
      <c r="F55" s="136"/>
      <c r="G55" s="124"/>
      <c r="H55" s="124"/>
      <c r="I55" s="123"/>
      <c r="J55" s="145">
        <v>1</v>
      </c>
      <c r="K55" s="153"/>
      <c r="L55" s="154">
        <f>L64+J55*L65</f>
        <v>7.9000000000000001E-2</v>
      </c>
      <c r="M55" s="136"/>
      <c r="N55" s="124"/>
      <c r="O55" s="113"/>
      <c r="P55" s="113"/>
      <c r="Q55" s="113"/>
      <c r="R55" s="113"/>
      <c r="S55" s="113"/>
      <c r="T55" s="52"/>
      <c r="U55" s="52"/>
      <c r="V55" s="52"/>
      <c r="AC55" s="185"/>
      <c r="AD55" s="185"/>
      <c r="AE55" s="185"/>
      <c r="AF55" s="185"/>
      <c r="AG55" s="185"/>
      <c r="AH55" s="185"/>
      <c r="AI55" s="185"/>
      <c r="AJ55" s="185"/>
    </row>
    <row r="56" spans="1:36" s="43" customFormat="1" ht="15" customHeight="1" x14ac:dyDescent="0.2">
      <c r="A56" s="52"/>
      <c r="B56" s="123"/>
      <c r="C56" s="145">
        <v>1.1000000000000001</v>
      </c>
      <c r="D56" s="146"/>
      <c r="E56" s="147">
        <f>E64+C56*E65</f>
        <v>6.3079999999999997E-2</v>
      </c>
      <c r="F56" s="136"/>
      <c r="G56" s="124"/>
      <c r="H56" s="124"/>
      <c r="I56" s="123"/>
      <c r="J56" s="145">
        <v>1.1000000000000001</v>
      </c>
      <c r="K56" s="153"/>
      <c r="L56" s="154">
        <f>L64+J56*L65</f>
        <v>8.5600000000000009E-2</v>
      </c>
      <c r="M56" s="136"/>
      <c r="N56" s="124"/>
      <c r="O56" s="113"/>
      <c r="P56" s="113"/>
      <c r="Q56" s="113"/>
      <c r="R56" s="113"/>
      <c r="S56" s="113"/>
      <c r="T56" s="52"/>
      <c r="U56" s="52"/>
      <c r="V56" s="52"/>
      <c r="AC56" s="185"/>
      <c r="AD56" s="185"/>
      <c r="AE56" s="185"/>
      <c r="AF56" s="185"/>
      <c r="AG56" s="185"/>
      <c r="AH56" s="185"/>
      <c r="AI56" s="185"/>
      <c r="AJ56" s="185"/>
    </row>
    <row r="57" spans="1:36" s="43" customFormat="1" ht="15" customHeight="1" x14ac:dyDescent="0.2">
      <c r="A57" s="52"/>
      <c r="B57" s="123"/>
      <c r="C57" s="145">
        <v>1.2</v>
      </c>
      <c r="D57" s="146"/>
      <c r="E57" s="147">
        <f>E64+C57*E65</f>
        <v>6.7360000000000003E-2</v>
      </c>
      <c r="F57" s="136"/>
      <c r="G57" s="124"/>
      <c r="H57" s="124"/>
      <c r="I57" s="123"/>
      <c r="J57" s="145">
        <v>1.2</v>
      </c>
      <c r="K57" s="153"/>
      <c r="L57" s="154">
        <f>L64+J57*L65</f>
        <v>9.2200000000000004E-2</v>
      </c>
      <c r="M57" s="136"/>
      <c r="N57" s="124"/>
      <c r="O57" s="113"/>
      <c r="P57" s="113"/>
      <c r="Q57" s="113"/>
      <c r="R57" s="113"/>
      <c r="S57" s="113"/>
      <c r="T57" s="52"/>
      <c r="U57" s="52"/>
      <c r="V57" s="52"/>
      <c r="AC57" s="185"/>
      <c r="AD57" s="185"/>
      <c r="AE57" s="185"/>
      <c r="AF57" s="185"/>
      <c r="AG57" s="185"/>
      <c r="AH57" s="185"/>
      <c r="AI57" s="185"/>
      <c r="AJ57" s="185"/>
    </row>
    <row r="58" spans="1:36" s="43" customFormat="1" ht="15" customHeight="1" x14ac:dyDescent="0.2">
      <c r="A58" s="52"/>
      <c r="B58" s="123"/>
      <c r="C58" s="145">
        <v>1.3</v>
      </c>
      <c r="D58" s="146"/>
      <c r="E58" s="147">
        <f>E64+C58*E65</f>
        <v>7.1640000000000009E-2</v>
      </c>
      <c r="F58" s="136"/>
      <c r="G58" s="124"/>
      <c r="H58" s="124"/>
      <c r="I58" s="123"/>
      <c r="J58" s="145">
        <v>1.3</v>
      </c>
      <c r="K58" s="153"/>
      <c r="L58" s="154">
        <f>L64+J58*L65</f>
        <v>9.8799999999999999E-2</v>
      </c>
      <c r="M58" s="136"/>
      <c r="N58" s="124"/>
      <c r="O58" s="113"/>
      <c r="P58" s="113"/>
      <c r="Q58" s="113"/>
      <c r="R58" s="113"/>
      <c r="S58" s="113"/>
      <c r="T58" s="52"/>
      <c r="U58" s="52"/>
      <c r="V58" s="52"/>
      <c r="AC58" s="185"/>
      <c r="AD58" s="185"/>
      <c r="AE58" s="185"/>
      <c r="AF58" s="185"/>
      <c r="AG58" s="185"/>
      <c r="AH58" s="185"/>
      <c r="AI58" s="185"/>
      <c r="AJ58" s="185"/>
    </row>
    <row r="59" spans="1:36" s="43" customFormat="1" ht="15" customHeight="1" x14ac:dyDescent="0.2">
      <c r="A59" s="52"/>
      <c r="B59" s="123"/>
      <c r="C59" s="145">
        <v>1.4</v>
      </c>
      <c r="D59" s="146"/>
      <c r="E59" s="147">
        <f>E64+C59*E65</f>
        <v>7.5919999999999987E-2</v>
      </c>
      <c r="F59" s="136"/>
      <c r="G59" s="124"/>
      <c r="H59" s="124"/>
      <c r="I59" s="123"/>
      <c r="J59" s="145">
        <v>1.4</v>
      </c>
      <c r="K59" s="153"/>
      <c r="L59" s="154">
        <f>L64+J59*L65</f>
        <v>0.10539999999999999</v>
      </c>
      <c r="M59" s="136"/>
      <c r="N59" s="124"/>
      <c r="O59" s="113"/>
      <c r="P59" s="113"/>
      <c r="Q59" s="113"/>
      <c r="R59" s="113"/>
      <c r="S59" s="113"/>
      <c r="T59" s="52"/>
      <c r="U59" s="52"/>
      <c r="V59" s="52"/>
      <c r="AC59" s="185"/>
      <c r="AD59" s="185"/>
      <c r="AE59" s="185"/>
      <c r="AF59" s="185"/>
      <c r="AG59" s="185"/>
      <c r="AH59" s="185"/>
      <c r="AI59" s="185"/>
      <c r="AJ59" s="185"/>
    </row>
    <row r="60" spans="1:36" s="43" customFormat="1" ht="15" customHeight="1" x14ac:dyDescent="0.2">
      <c r="A60" s="52"/>
      <c r="B60" s="123"/>
      <c r="C60" s="145">
        <v>1.5</v>
      </c>
      <c r="D60" s="146"/>
      <c r="E60" s="147">
        <f>E64+C60*E65</f>
        <v>8.0199999999999994E-2</v>
      </c>
      <c r="F60" s="136"/>
      <c r="G60" s="124"/>
      <c r="H60" s="124"/>
      <c r="I60" s="123"/>
      <c r="J60" s="145">
        <v>1.5</v>
      </c>
      <c r="K60" s="153"/>
      <c r="L60" s="154">
        <f>L64+J60*L65</f>
        <v>0.112</v>
      </c>
      <c r="M60" s="136"/>
      <c r="N60" s="124"/>
      <c r="O60" s="113"/>
      <c r="P60" s="113"/>
      <c r="Q60" s="113"/>
      <c r="R60" s="113"/>
      <c r="S60" s="113"/>
      <c r="T60" s="52"/>
      <c r="U60" s="52"/>
      <c r="V60" s="52"/>
      <c r="AC60" s="185"/>
      <c r="AD60" s="185"/>
      <c r="AE60" s="185"/>
      <c r="AF60" s="185"/>
      <c r="AG60" s="185"/>
      <c r="AH60" s="185"/>
      <c r="AI60" s="185"/>
      <c r="AJ60" s="185"/>
    </row>
    <row r="61" spans="1:36" s="43" customFormat="1" ht="15" customHeight="1" thickBot="1" x14ac:dyDescent="0.25">
      <c r="A61" s="52"/>
      <c r="B61" s="123"/>
      <c r="C61" s="148" t="s">
        <v>54</v>
      </c>
      <c r="D61" s="149"/>
      <c r="E61" s="150">
        <f>E64+1.6*E65</f>
        <v>8.448E-2</v>
      </c>
      <c r="F61" s="139"/>
      <c r="G61" s="124"/>
      <c r="H61" s="124"/>
      <c r="I61" s="123"/>
      <c r="J61" s="148" t="s">
        <v>54</v>
      </c>
      <c r="K61" s="155"/>
      <c r="L61" s="212">
        <f>L64+1.6*L65</f>
        <v>0.11860000000000001</v>
      </c>
      <c r="M61" s="139"/>
      <c r="N61" s="124"/>
      <c r="O61" s="113"/>
      <c r="P61" s="113"/>
      <c r="Q61" s="113"/>
      <c r="R61" s="113"/>
      <c r="S61" s="113"/>
      <c r="T61" s="52"/>
      <c r="U61" s="52"/>
      <c r="V61" s="52"/>
      <c r="AC61" s="185"/>
      <c r="AD61" s="185"/>
      <c r="AE61" s="185"/>
      <c r="AF61" s="185"/>
      <c r="AG61" s="185"/>
      <c r="AH61" s="185"/>
      <c r="AI61" s="185"/>
      <c r="AJ61" s="185"/>
    </row>
    <row r="62" spans="1:36" ht="15.75" customHeight="1" x14ac:dyDescent="0.25">
      <c r="A62" s="57"/>
      <c r="B62" s="114"/>
      <c r="C62" s="115"/>
      <c r="D62" s="115"/>
      <c r="E62" s="115"/>
      <c r="F62" s="115"/>
      <c r="G62" s="116"/>
      <c r="H62" s="116"/>
      <c r="I62" s="114"/>
      <c r="J62" s="116"/>
      <c r="K62" s="116"/>
      <c r="L62" s="116"/>
      <c r="M62" s="116"/>
      <c r="N62" s="116"/>
      <c r="O62" s="111"/>
      <c r="P62" s="111"/>
      <c r="Q62" s="111"/>
      <c r="R62" s="111"/>
      <c r="S62" s="111"/>
      <c r="T62" s="57"/>
      <c r="U62" s="57"/>
      <c r="V62" s="57"/>
    </row>
    <row r="63" spans="1:36" s="166" customFormat="1" ht="20.100000000000001" customHeight="1" x14ac:dyDescent="0.2">
      <c r="A63" s="124"/>
      <c r="B63" s="125"/>
      <c r="C63" s="197" t="s">
        <v>55</v>
      </c>
      <c r="D63" s="175"/>
      <c r="E63" s="175"/>
      <c r="F63" s="175"/>
      <c r="G63" s="198"/>
      <c r="H63" s="198"/>
      <c r="I63" s="197"/>
      <c r="J63" s="197" t="s">
        <v>55</v>
      </c>
      <c r="K63" s="198"/>
      <c r="L63" s="198"/>
      <c r="M63" s="124"/>
      <c r="N63" s="124"/>
      <c r="O63" s="124"/>
      <c r="P63" s="124"/>
      <c r="Q63" s="124"/>
      <c r="R63" s="124"/>
      <c r="S63" s="124"/>
      <c r="T63" s="124"/>
      <c r="U63" s="124"/>
      <c r="V63" s="124"/>
    </row>
    <row r="64" spans="1:36" s="167" customFormat="1" ht="20.100000000000001" customHeight="1" x14ac:dyDescent="0.2">
      <c r="A64" s="125"/>
      <c r="B64" s="125"/>
      <c r="C64" s="207"/>
      <c r="D64" s="200" t="s">
        <v>56</v>
      </c>
      <c r="E64" s="201">
        <v>1.6E-2</v>
      </c>
      <c r="F64" s="207"/>
      <c r="G64" s="207"/>
      <c r="H64" s="207"/>
      <c r="I64" s="207"/>
      <c r="J64" s="207"/>
      <c r="K64" s="200" t="s">
        <v>56</v>
      </c>
      <c r="L64" s="201">
        <v>1.2999999999999999E-2</v>
      </c>
      <c r="M64" s="125"/>
      <c r="N64" s="125"/>
      <c r="O64" s="125"/>
      <c r="P64" s="125"/>
      <c r="Q64" s="125"/>
      <c r="R64" s="125"/>
      <c r="S64" s="125"/>
      <c r="T64" s="125"/>
      <c r="U64" s="125"/>
      <c r="V64" s="125"/>
    </row>
    <row r="65" spans="1:36" s="167" customFormat="1" ht="20.100000000000001" customHeight="1" x14ac:dyDescent="0.2">
      <c r="A65" s="125"/>
      <c r="B65" s="125"/>
      <c r="C65" s="207"/>
      <c r="D65" s="200" t="s">
        <v>57</v>
      </c>
      <c r="E65" s="201">
        <v>4.2799999999999998E-2</v>
      </c>
      <c r="F65" s="207"/>
      <c r="G65" s="207"/>
      <c r="H65" s="207"/>
      <c r="I65" s="207"/>
      <c r="J65" s="207"/>
      <c r="K65" s="200" t="s">
        <v>57</v>
      </c>
      <c r="L65" s="201">
        <v>6.6000000000000003E-2</v>
      </c>
      <c r="M65" s="125"/>
      <c r="N65" s="125"/>
      <c r="O65" s="125"/>
      <c r="P65" s="125"/>
      <c r="Q65" s="125"/>
      <c r="R65" s="125"/>
      <c r="S65" s="125"/>
      <c r="T65" s="125"/>
      <c r="U65" s="125"/>
      <c r="V65" s="125"/>
    </row>
    <row r="66" spans="1:36" ht="15.75" customHeight="1" x14ac:dyDescent="0.25">
      <c r="A66" s="57"/>
      <c r="B66" s="114"/>
      <c r="C66" s="115"/>
      <c r="D66" s="115"/>
      <c r="E66" s="115"/>
      <c r="F66" s="116"/>
      <c r="G66" s="116"/>
      <c r="H66" s="116"/>
      <c r="I66" s="116"/>
      <c r="J66" s="116"/>
      <c r="K66" s="116"/>
      <c r="L66" s="116"/>
      <c r="M66" s="116"/>
      <c r="N66" s="116"/>
      <c r="O66" s="111"/>
      <c r="P66" s="111"/>
      <c r="Q66" s="111"/>
      <c r="R66" s="111"/>
      <c r="S66" s="111"/>
      <c r="T66" s="57"/>
      <c r="U66" s="57"/>
      <c r="V66" s="57"/>
      <c r="AC66" s="169"/>
      <c r="AD66" s="169"/>
      <c r="AE66" s="169"/>
      <c r="AF66" s="169"/>
      <c r="AG66" s="169"/>
      <c r="AH66" s="169"/>
      <c r="AI66" s="169"/>
      <c r="AJ66" s="169"/>
    </row>
    <row r="67" spans="1:36" s="169" customFormat="1" ht="15.75" customHeight="1" x14ac:dyDescent="0.25">
      <c r="A67" s="116"/>
      <c r="B67" s="116"/>
      <c r="C67" s="115" t="s">
        <v>58</v>
      </c>
      <c r="D67" s="115"/>
      <c r="E67" s="115"/>
      <c r="F67" s="116"/>
      <c r="G67" s="116"/>
      <c r="H67" s="116"/>
      <c r="I67" s="116"/>
      <c r="J67" s="115" t="s">
        <v>58</v>
      </c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</row>
    <row r="68" spans="1:36" s="168" customFormat="1" x14ac:dyDescent="0.2">
      <c r="A68" s="114"/>
      <c r="B68" s="114"/>
      <c r="C68" s="126" t="s">
        <v>59</v>
      </c>
      <c r="D68" s="126"/>
      <c r="E68" s="170"/>
      <c r="F68" s="114"/>
      <c r="G68" s="114"/>
      <c r="H68" s="114"/>
      <c r="I68" s="114"/>
      <c r="J68" s="126" t="s">
        <v>60</v>
      </c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</row>
    <row r="69" spans="1:36" x14ac:dyDescent="0.2">
      <c r="A69" s="57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57"/>
      <c r="P69" s="57"/>
      <c r="Q69" s="57"/>
      <c r="R69" s="57"/>
      <c r="S69" s="57"/>
      <c r="T69" s="57"/>
      <c r="U69" s="57"/>
      <c r="V69" s="57"/>
    </row>
    <row r="70" spans="1:36" x14ac:dyDescent="0.2">
      <c r="A70" s="57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57"/>
      <c r="P70" s="57"/>
      <c r="Q70" s="57"/>
      <c r="R70" s="57"/>
      <c r="S70" s="57"/>
      <c r="T70" s="57"/>
      <c r="U70" s="57"/>
      <c r="V70" s="57"/>
    </row>
    <row r="71" spans="1:36" ht="18" customHeight="1" x14ac:dyDescent="0.25">
      <c r="A71" s="57"/>
      <c r="B71" s="114"/>
      <c r="C71" s="127" t="s">
        <v>61</v>
      </c>
      <c r="D71" s="115"/>
      <c r="E71" s="115"/>
      <c r="F71" s="114"/>
      <c r="G71" s="114"/>
      <c r="H71" s="114"/>
      <c r="I71" s="114"/>
      <c r="J71" s="114"/>
      <c r="K71" s="114"/>
      <c r="L71" s="114"/>
      <c r="M71" s="114"/>
      <c r="N71" s="114"/>
      <c r="O71" s="57"/>
      <c r="P71" s="57"/>
      <c r="Q71" s="57"/>
      <c r="R71" s="57"/>
      <c r="S71" s="57"/>
      <c r="T71" s="57"/>
      <c r="U71" s="57"/>
      <c r="V71" s="57"/>
    </row>
    <row r="72" spans="1:36" ht="15.75" customHeight="1" thickBot="1" x14ac:dyDescent="0.25">
      <c r="A72" s="57"/>
      <c r="B72" s="114"/>
      <c r="C72" s="116"/>
      <c r="D72" s="116"/>
      <c r="E72" s="116"/>
      <c r="F72" s="114"/>
      <c r="G72" s="114"/>
      <c r="H72" s="114"/>
      <c r="I72" s="114"/>
      <c r="J72" s="114"/>
      <c r="K72" s="114"/>
      <c r="L72" s="114"/>
      <c r="M72" s="114"/>
      <c r="N72" s="114"/>
      <c r="O72" s="57"/>
      <c r="P72" s="57"/>
      <c r="Q72" s="57"/>
      <c r="R72" s="57"/>
      <c r="S72" s="57"/>
      <c r="T72" s="57"/>
      <c r="U72" s="57"/>
      <c r="V72" s="57"/>
    </row>
    <row r="73" spans="1:36" ht="25.5" customHeight="1" thickBot="1" x14ac:dyDescent="0.25">
      <c r="A73" s="57"/>
      <c r="B73" s="114"/>
      <c r="C73" s="128" t="s">
        <v>62</v>
      </c>
      <c r="D73" s="129"/>
      <c r="E73" s="131" t="s">
        <v>63</v>
      </c>
      <c r="F73" s="114"/>
      <c r="G73" s="114"/>
      <c r="H73" s="114"/>
      <c r="I73" s="114"/>
      <c r="J73" s="114"/>
      <c r="K73" s="114"/>
      <c r="L73" s="114"/>
      <c r="M73" s="114"/>
      <c r="N73" s="114"/>
      <c r="O73" s="57"/>
      <c r="P73" s="57"/>
      <c r="Q73" s="57"/>
      <c r="R73" s="57"/>
      <c r="S73" s="57"/>
      <c r="T73" s="57"/>
      <c r="U73" s="57"/>
      <c r="V73" s="57"/>
    </row>
    <row r="74" spans="1:36" s="43" customFormat="1" ht="16.5" customHeight="1" x14ac:dyDescent="0.2">
      <c r="A74" s="52"/>
      <c r="B74" s="123"/>
      <c r="C74" s="132" t="s">
        <v>64</v>
      </c>
      <c r="D74" s="133"/>
      <c r="E74" s="134" t="s">
        <v>65</v>
      </c>
      <c r="F74" s="123"/>
      <c r="G74" s="123"/>
      <c r="H74" s="123"/>
      <c r="I74" s="123"/>
      <c r="J74" s="123"/>
      <c r="K74" s="123"/>
      <c r="L74" s="123"/>
      <c r="M74" s="123"/>
      <c r="N74" s="123"/>
      <c r="O74" s="52"/>
      <c r="P74" s="52"/>
      <c r="Q74" s="52"/>
      <c r="R74" s="52"/>
      <c r="S74" s="52"/>
      <c r="T74" s="52"/>
      <c r="U74" s="52"/>
      <c r="V74" s="52"/>
      <c r="AC74" s="185"/>
      <c r="AD74" s="185"/>
      <c r="AE74" s="185"/>
      <c r="AF74" s="185"/>
      <c r="AG74" s="185"/>
      <c r="AH74" s="185"/>
      <c r="AI74" s="185"/>
      <c r="AJ74" s="185"/>
    </row>
    <row r="75" spans="1:36" s="43" customFormat="1" ht="16.5" customHeight="1" x14ac:dyDescent="0.2">
      <c r="A75" s="52"/>
      <c r="B75" s="123"/>
      <c r="C75" s="135" t="s">
        <v>66</v>
      </c>
      <c r="D75" s="136"/>
      <c r="E75" s="137" t="s">
        <v>67</v>
      </c>
      <c r="F75" s="123"/>
      <c r="G75" s="123"/>
      <c r="H75" s="123"/>
      <c r="I75" s="123"/>
      <c r="J75" s="123"/>
      <c r="K75" s="123"/>
      <c r="L75" s="123"/>
      <c r="M75" s="123"/>
      <c r="N75" s="123"/>
      <c r="O75" s="52"/>
      <c r="P75" s="52"/>
      <c r="Q75" s="52"/>
      <c r="R75" s="52"/>
      <c r="S75" s="52"/>
      <c r="T75" s="52"/>
      <c r="U75" s="52"/>
      <c r="V75" s="52"/>
      <c r="AC75" s="185"/>
      <c r="AD75" s="185"/>
      <c r="AE75" s="185"/>
      <c r="AF75" s="185"/>
      <c r="AG75" s="185"/>
      <c r="AH75" s="185"/>
      <c r="AI75" s="185"/>
      <c r="AJ75" s="185"/>
    </row>
    <row r="76" spans="1:36" s="43" customFormat="1" ht="16.5" customHeight="1" x14ac:dyDescent="0.2">
      <c r="A76" s="52"/>
      <c r="B76" s="123"/>
      <c r="C76" s="135" t="s">
        <v>68</v>
      </c>
      <c r="D76" s="136"/>
      <c r="E76" s="137" t="s">
        <v>69</v>
      </c>
      <c r="F76" s="123"/>
      <c r="G76" s="123"/>
      <c r="H76" s="123"/>
      <c r="I76" s="123"/>
      <c r="J76" s="123"/>
      <c r="K76" s="123"/>
      <c r="L76" s="123"/>
      <c r="M76" s="123"/>
      <c r="N76" s="123"/>
      <c r="O76" s="52"/>
      <c r="P76" s="52"/>
      <c r="Q76" s="52"/>
      <c r="R76" s="52"/>
      <c r="S76" s="52"/>
      <c r="T76" s="52"/>
      <c r="U76" s="52"/>
      <c r="V76" s="52"/>
      <c r="AC76" s="185"/>
      <c r="AD76" s="185"/>
      <c r="AE76" s="185"/>
      <c r="AF76" s="185"/>
      <c r="AG76" s="185"/>
      <c r="AH76" s="185"/>
      <c r="AI76" s="185"/>
      <c r="AJ76" s="185"/>
    </row>
    <row r="77" spans="1:36" s="43" customFormat="1" ht="16.5" customHeight="1" x14ac:dyDescent="0.2">
      <c r="A77" s="52"/>
      <c r="B77" s="123"/>
      <c r="C77" s="135" t="s">
        <v>70</v>
      </c>
      <c r="D77" s="136"/>
      <c r="E77" s="137" t="s">
        <v>71</v>
      </c>
      <c r="F77" s="123"/>
      <c r="G77" s="123"/>
      <c r="H77" s="123"/>
      <c r="I77" s="123"/>
      <c r="J77" s="123"/>
      <c r="K77" s="123"/>
      <c r="L77" s="123"/>
      <c r="M77" s="123"/>
      <c r="N77" s="123"/>
      <c r="O77" s="52"/>
      <c r="P77" s="52"/>
      <c r="Q77" s="52"/>
      <c r="R77" s="52"/>
      <c r="S77" s="52"/>
      <c r="T77" s="52"/>
      <c r="U77" s="52"/>
      <c r="V77" s="52"/>
      <c r="AC77" s="185"/>
      <c r="AD77" s="185"/>
      <c r="AE77" s="185"/>
      <c r="AF77" s="185"/>
      <c r="AG77" s="185"/>
      <c r="AH77" s="185"/>
      <c r="AI77" s="185"/>
      <c r="AJ77" s="185"/>
    </row>
    <row r="78" spans="1:36" s="43" customFormat="1" ht="16.5" customHeight="1" x14ac:dyDescent="0.2">
      <c r="A78" s="52"/>
      <c r="B78" s="123"/>
      <c r="C78" s="135" t="s">
        <v>72</v>
      </c>
      <c r="D78" s="136"/>
      <c r="E78" s="137" t="s">
        <v>73</v>
      </c>
      <c r="F78" s="123"/>
      <c r="G78" s="123"/>
      <c r="H78" s="123"/>
      <c r="I78" s="123"/>
      <c r="J78" s="123"/>
      <c r="K78" s="123"/>
      <c r="L78" s="123"/>
      <c r="M78" s="123"/>
      <c r="N78" s="123"/>
      <c r="O78" s="52"/>
      <c r="P78" s="52"/>
      <c r="Q78" s="52"/>
      <c r="R78" s="52"/>
      <c r="S78" s="52"/>
      <c r="T78" s="52"/>
      <c r="U78" s="52"/>
      <c r="V78" s="52"/>
      <c r="AC78" s="185"/>
      <c r="AD78" s="185"/>
      <c r="AE78" s="185"/>
      <c r="AF78" s="185"/>
      <c r="AG78" s="185"/>
      <c r="AH78" s="185"/>
      <c r="AI78" s="185"/>
      <c r="AJ78" s="185"/>
    </row>
    <row r="79" spans="1:36" s="43" customFormat="1" ht="16.5" customHeight="1" x14ac:dyDescent="0.2">
      <c r="A79" s="52"/>
      <c r="B79" s="123"/>
      <c r="C79" s="135" t="s">
        <v>74</v>
      </c>
      <c r="D79" s="136"/>
      <c r="E79" s="137" t="s">
        <v>75</v>
      </c>
      <c r="F79" s="123"/>
      <c r="G79" s="123"/>
      <c r="H79" s="123"/>
      <c r="I79" s="123"/>
      <c r="J79" s="123"/>
      <c r="K79" s="123"/>
      <c r="L79" s="123"/>
      <c r="M79" s="123"/>
      <c r="N79" s="123"/>
      <c r="O79" s="52"/>
      <c r="P79" s="52"/>
      <c r="Q79" s="52"/>
      <c r="R79" s="52"/>
      <c r="S79" s="52"/>
      <c r="T79" s="52"/>
      <c r="U79" s="52"/>
      <c r="V79" s="52"/>
      <c r="AC79" s="185"/>
      <c r="AD79" s="185"/>
      <c r="AE79" s="185"/>
      <c r="AF79" s="185"/>
      <c r="AG79" s="185"/>
      <c r="AH79" s="185"/>
      <c r="AI79" s="185"/>
      <c r="AJ79" s="185"/>
    </row>
    <row r="80" spans="1:36" s="43" customFormat="1" ht="16.5" customHeight="1" x14ac:dyDescent="0.2">
      <c r="A80" s="52"/>
      <c r="B80" s="123"/>
      <c r="C80" s="135" t="s">
        <v>76</v>
      </c>
      <c r="D80" s="136"/>
      <c r="E80" s="137" t="s">
        <v>77</v>
      </c>
      <c r="F80" s="123"/>
      <c r="G80" s="123"/>
      <c r="H80" s="123"/>
      <c r="I80" s="123"/>
      <c r="J80" s="123"/>
      <c r="K80" s="123"/>
      <c r="L80" s="123"/>
      <c r="M80" s="123"/>
      <c r="N80" s="123"/>
      <c r="O80" s="52"/>
      <c r="P80" s="52"/>
      <c r="Q80" s="52"/>
      <c r="R80" s="52"/>
      <c r="S80" s="52"/>
      <c r="T80" s="52"/>
      <c r="U80" s="52"/>
      <c r="V80" s="52"/>
      <c r="AC80" s="185"/>
      <c r="AD80" s="185"/>
      <c r="AE80" s="185"/>
      <c r="AF80" s="185"/>
      <c r="AG80" s="185"/>
      <c r="AH80" s="185"/>
      <c r="AI80" s="185"/>
      <c r="AJ80" s="185"/>
    </row>
    <row r="81" spans="1:36" s="43" customFormat="1" ht="16.5" customHeight="1" x14ac:dyDescent="0.2">
      <c r="A81" s="52"/>
      <c r="B81" s="123"/>
      <c r="C81" s="135" t="s">
        <v>78</v>
      </c>
      <c r="D81" s="136"/>
      <c r="E81" s="137" t="s">
        <v>79</v>
      </c>
      <c r="F81" s="123"/>
      <c r="G81" s="123"/>
      <c r="H81" s="123"/>
      <c r="I81" s="123"/>
      <c r="J81" s="123"/>
      <c r="K81" s="123"/>
      <c r="L81" s="123"/>
      <c r="M81" s="123"/>
      <c r="N81" s="123"/>
      <c r="O81" s="52"/>
      <c r="P81" s="52"/>
      <c r="Q81" s="52"/>
      <c r="R81" s="52"/>
      <c r="S81" s="52"/>
      <c r="T81" s="52"/>
      <c r="U81" s="52"/>
      <c r="V81" s="52"/>
      <c r="AC81" s="185"/>
      <c r="AD81" s="185"/>
      <c r="AE81" s="185"/>
      <c r="AF81" s="185"/>
      <c r="AG81" s="185"/>
      <c r="AH81" s="185"/>
      <c r="AI81" s="185"/>
      <c r="AJ81" s="185"/>
    </row>
    <row r="82" spans="1:36" s="43" customFormat="1" ht="16.5" customHeight="1" thickBot="1" x14ac:dyDescent="0.25">
      <c r="A82" s="52"/>
      <c r="B82" s="123"/>
      <c r="C82" s="138" t="s">
        <v>80</v>
      </c>
      <c r="D82" s="139"/>
      <c r="E82" s="140" t="s">
        <v>19</v>
      </c>
      <c r="F82" s="123"/>
      <c r="G82" s="123"/>
      <c r="H82" s="123"/>
      <c r="I82" s="123"/>
      <c r="J82" s="123"/>
      <c r="K82" s="123"/>
      <c r="L82" s="123"/>
      <c r="M82" s="123"/>
      <c r="N82" s="123"/>
      <c r="O82" s="52"/>
      <c r="P82" s="52"/>
      <c r="Q82" s="52"/>
      <c r="R82" s="52"/>
      <c r="S82" s="52"/>
      <c r="T82" s="52"/>
      <c r="U82" s="52"/>
      <c r="V82" s="52"/>
      <c r="AC82" s="185"/>
      <c r="AD82" s="185"/>
      <c r="AE82" s="185"/>
      <c r="AF82" s="185"/>
      <c r="AG82" s="185"/>
      <c r="AH82" s="185"/>
      <c r="AI82" s="185"/>
      <c r="AJ82" s="185"/>
    </row>
    <row r="83" spans="1:36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</row>
    <row r="84" spans="1:36" x14ac:dyDescent="0.2">
      <c r="A84" s="51" t="s">
        <v>82</v>
      </c>
      <c r="B84" s="240"/>
      <c r="C84" s="241"/>
      <c r="D84" s="241"/>
      <c r="E84" s="241"/>
      <c r="F84" s="241"/>
      <c r="G84" s="241"/>
      <c r="H84" s="241"/>
      <c r="I84" s="241"/>
      <c r="J84" s="241"/>
      <c r="K84" s="241"/>
      <c r="L84" s="241"/>
      <c r="M84" s="241"/>
      <c r="N84" s="229" t="s">
        <v>81</v>
      </c>
      <c r="O84" s="241"/>
      <c r="P84" s="241"/>
      <c r="Q84" s="241"/>
      <c r="R84" s="241"/>
      <c r="S84" s="241"/>
      <c r="T84" s="241"/>
      <c r="U84" s="241"/>
      <c r="V84" s="57"/>
    </row>
    <row r="85" spans="1:36" x14ac:dyDescent="0.2">
      <c r="A85" s="52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241"/>
      <c r="Q85" s="241"/>
      <c r="R85" s="241"/>
      <c r="S85" s="241"/>
      <c r="T85" s="241"/>
      <c r="U85" s="241"/>
      <c r="V85" s="57"/>
    </row>
    <row r="86" spans="1:36" x14ac:dyDescent="0.2">
      <c r="A86" s="52"/>
      <c r="B86" s="241"/>
      <c r="C86" s="241"/>
      <c r="D86" s="241"/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241"/>
      <c r="Q86" s="241"/>
      <c r="R86" s="241"/>
      <c r="S86" s="241"/>
      <c r="T86" s="241"/>
      <c r="U86" s="241"/>
      <c r="V86" s="57"/>
    </row>
    <row r="87" spans="1:36" x14ac:dyDescent="0.2">
      <c r="A87" s="52"/>
      <c r="B87" s="241"/>
      <c r="C87" s="241"/>
      <c r="D87" s="241"/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241"/>
      <c r="Q87" s="241"/>
      <c r="R87" s="241"/>
      <c r="S87" s="241"/>
      <c r="T87" s="241"/>
      <c r="U87" s="241"/>
      <c r="V87" s="57"/>
    </row>
    <row r="88" spans="1:36" x14ac:dyDescent="0.2">
      <c r="A88" s="52"/>
      <c r="B88" s="241"/>
      <c r="C88" s="241"/>
      <c r="D88" s="241"/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241"/>
      <c r="Q88" s="241"/>
      <c r="R88" s="241"/>
      <c r="S88" s="241"/>
      <c r="T88" s="241"/>
      <c r="U88" s="241"/>
      <c r="V88" s="57"/>
    </row>
    <row r="89" spans="1:36" x14ac:dyDescent="0.2">
      <c r="A89" s="52"/>
      <c r="B89" s="24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241"/>
      <c r="Q89" s="241"/>
      <c r="R89" s="241"/>
      <c r="S89" s="241"/>
      <c r="T89" s="241"/>
      <c r="U89" s="241"/>
      <c r="V89" s="57"/>
    </row>
    <row r="90" spans="1:36" x14ac:dyDescent="0.2">
      <c r="A90" s="52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241"/>
      <c r="Q90" s="241"/>
      <c r="R90" s="241"/>
      <c r="S90" s="241"/>
      <c r="T90" s="241"/>
      <c r="U90" s="241"/>
      <c r="V90" s="57"/>
    </row>
  </sheetData>
  <mergeCells count="28">
    <mergeCell ref="B2:U2"/>
    <mergeCell ref="N8:O8"/>
    <mergeCell ref="N14:O14"/>
    <mergeCell ref="M22:N22"/>
    <mergeCell ref="L26:M26"/>
    <mergeCell ref="J18:L18"/>
    <mergeCell ref="N10:O10"/>
    <mergeCell ref="G14:H14"/>
    <mergeCell ref="F10:H10"/>
    <mergeCell ref="G16:H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N84:U90"/>
    <mergeCell ref="F20:H20"/>
    <mergeCell ref="G12:H12"/>
    <mergeCell ref="F18:H18"/>
    <mergeCell ref="N16:O16"/>
    <mergeCell ref="B84:M90"/>
    <mergeCell ref="C29:E29"/>
  </mergeCells>
  <dataValidations count="2">
    <dataValidation type="list" allowBlank="1" showInputMessage="1" showErrorMessage="1" sqref="C12:E12" xr:uid="{00000000-0002-0000-0100-000000000000}">
      <formula1>$AD$6:$AD$8</formula1>
    </dataValidation>
    <dataValidation type="list" allowBlank="1" showInputMessage="1" showErrorMessage="1" sqref="S8 S10" xr:uid="{00000000-0002-0000-0100-000001000000}">
      <formula1>$E$74:$E$82</formula1>
    </dataValidation>
  </dataValidations>
  <hyperlinks>
    <hyperlink ref="C68" r:id="rId1" xr:uid="{00000000-0004-0000-0100-000000000000}"/>
    <hyperlink ref="J68" r:id="rId2" xr:uid="{00000000-0004-0000-0100-000001000000}"/>
  </hyperlinks>
  <printOptions horizontalCentered="1" verticalCentered="1"/>
  <pageMargins left="0.25" right="0.25" top="0.75" bottom="0.5" header="0.5" footer="0.5"/>
  <pageSetup paperSize="9" orientation="portrait" horizontalDpi="4294967292" verticalDpi="429496729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8"/>
  <sheetViews>
    <sheetView workbookViewId="0">
      <selection activeCell="B23" sqref="B23"/>
    </sheetView>
  </sheetViews>
  <sheetFormatPr defaultColWidth="8.625" defaultRowHeight="12.75" x14ac:dyDescent="0.2"/>
  <cols>
    <col min="1" max="1" width="20.875" style="10" customWidth="1"/>
    <col min="2" max="11" width="10.125" style="9" customWidth="1"/>
    <col min="12" max="12" width="8.625" style="10" customWidth="1"/>
    <col min="13" max="16384" width="8.625" style="10"/>
  </cols>
  <sheetData>
    <row r="1" spans="1:11" ht="22.5" customHeight="1" x14ac:dyDescent="0.3">
      <c r="A1" s="8" t="s">
        <v>83</v>
      </c>
    </row>
    <row r="2" spans="1:11" x14ac:dyDescent="0.2">
      <c r="A2" s="10" t="s">
        <v>84</v>
      </c>
    </row>
    <row r="4" spans="1:11" ht="26.25" customHeight="1" x14ac:dyDescent="0.3">
      <c r="A4" s="19" t="s">
        <v>85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x14ac:dyDescent="0.2">
      <c r="D5" s="9" t="s">
        <v>86</v>
      </c>
    </row>
    <row r="7" spans="1:11" ht="15" customHeight="1" x14ac:dyDescent="0.2">
      <c r="A7" s="20" t="s">
        <v>87</v>
      </c>
      <c r="B7" s="5" t="e">
        <f>#REF!</f>
        <v>#REF!</v>
      </c>
      <c r="C7" s="14"/>
      <c r="D7" s="14"/>
      <c r="E7" s="14"/>
      <c r="F7" s="14"/>
      <c r="G7" s="14"/>
      <c r="H7" s="14"/>
      <c r="I7" s="14"/>
      <c r="J7" s="14"/>
      <c r="K7" s="14"/>
    </row>
    <row r="8" spans="1:11" ht="15" customHeight="1" x14ac:dyDescent="0.2">
      <c r="A8" s="20" t="s">
        <v>88</v>
      </c>
      <c r="B8" s="6" t="e">
        <f>#REF!</f>
        <v>#REF!</v>
      </c>
      <c r="C8" s="14"/>
      <c r="D8" s="14"/>
      <c r="E8" s="14"/>
      <c r="F8" s="14"/>
      <c r="G8" s="14"/>
      <c r="H8" s="14"/>
      <c r="I8" s="14"/>
      <c r="J8" s="14"/>
      <c r="K8" s="14"/>
    </row>
    <row r="9" spans="1:11" ht="15" customHeight="1" x14ac:dyDescent="0.2">
      <c r="A9" s="20" t="s">
        <v>45</v>
      </c>
      <c r="B9" s="6" t="e">
        <f>#REF!</f>
        <v>#REF!</v>
      </c>
      <c r="C9" s="14"/>
      <c r="D9" s="14"/>
      <c r="E9" s="14"/>
      <c r="F9" s="14"/>
      <c r="G9" s="14"/>
      <c r="H9" s="14"/>
      <c r="I9" s="14"/>
      <c r="J9" s="14"/>
      <c r="K9" s="14"/>
    </row>
    <row r="10" spans="1:11" s="16" customFormat="1" ht="15" customHeight="1" x14ac:dyDescent="0.2">
      <c r="A10" s="15" t="s">
        <v>46</v>
      </c>
      <c r="B10" s="15" t="e">
        <f>#REF!+1</f>
        <v>#REF!</v>
      </c>
      <c r="C10" s="15" t="e">
        <f t="shared" ref="C10:K10" si="0">B10+1</f>
        <v>#REF!</v>
      </c>
      <c r="D10" s="15" t="e">
        <f t="shared" si="0"/>
        <v>#REF!</v>
      </c>
      <c r="E10" s="15" t="e">
        <f t="shared" si="0"/>
        <v>#REF!</v>
      </c>
      <c r="F10" s="15" t="e">
        <f t="shared" si="0"/>
        <v>#REF!</v>
      </c>
      <c r="G10" s="15" t="e">
        <f t="shared" si="0"/>
        <v>#REF!</v>
      </c>
      <c r="H10" s="15" t="e">
        <f t="shared" si="0"/>
        <v>#REF!</v>
      </c>
      <c r="I10" s="15" t="e">
        <f t="shared" si="0"/>
        <v>#REF!</v>
      </c>
      <c r="J10" s="15" t="e">
        <f t="shared" si="0"/>
        <v>#REF!</v>
      </c>
      <c r="K10" s="15" t="e">
        <f t="shared" si="0"/>
        <v>#REF!</v>
      </c>
    </row>
    <row r="11" spans="1:11" ht="15" customHeight="1" x14ac:dyDescent="0.2">
      <c r="A11" s="17" t="s">
        <v>89</v>
      </c>
      <c r="B11" s="21" t="e">
        <f>B7*(1+B8)</f>
        <v>#REF!</v>
      </c>
      <c r="C11" s="21" t="e">
        <f>B11*(1+B8)</f>
        <v>#REF!</v>
      </c>
      <c r="D11" s="21" t="e">
        <f>C11*(1+B8)</f>
        <v>#REF!</v>
      </c>
      <c r="E11" s="21" t="e">
        <f>D11*(1+B8)</f>
        <v>#REF!</v>
      </c>
      <c r="F11" s="21" t="e">
        <f>E11*(1+B8)</f>
        <v>#REF!</v>
      </c>
      <c r="G11" s="21" t="e">
        <f>F11*(1+B8)</f>
        <v>#REF!</v>
      </c>
      <c r="H11" s="21" t="e">
        <f>G11*(1+B8)</f>
        <v>#REF!</v>
      </c>
      <c r="I11" s="21" t="e">
        <f>H11*(1+B8)</f>
        <v>#REF!</v>
      </c>
      <c r="J11" s="21" t="e">
        <f>I11*(1+B8)</f>
        <v>#REF!</v>
      </c>
      <c r="K11" s="21" t="e">
        <f>J11*(1+B8)</f>
        <v>#REF!</v>
      </c>
    </row>
    <row r="12" spans="1:11" ht="15" customHeight="1" x14ac:dyDescent="0.2">
      <c r="A12" s="22" t="s">
        <v>47</v>
      </c>
      <c r="B12" s="23" t="e">
        <f>1/(1+$B$9)</f>
        <v>#REF!</v>
      </c>
      <c r="C12" s="23" t="e">
        <f t="shared" ref="C12:K12" si="1">B12/(1+$B$9)</f>
        <v>#REF!</v>
      </c>
      <c r="D12" s="23" t="e">
        <f t="shared" si="1"/>
        <v>#REF!</v>
      </c>
      <c r="E12" s="23" t="e">
        <f t="shared" si="1"/>
        <v>#REF!</v>
      </c>
      <c r="F12" s="23" t="e">
        <f t="shared" si="1"/>
        <v>#REF!</v>
      </c>
      <c r="G12" s="23" t="e">
        <f t="shared" si="1"/>
        <v>#REF!</v>
      </c>
      <c r="H12" s="23" t="e">
        <f t="shared" si="1"/>
        <v>#REF!</v>
      </c>
      <c r="I12" s="23" t="e">
        <f t="shared" si="1"/>
        <v>#REF!</v>
      </c>
      <c r="J12" s="23" t="e">
        <f t="shared" si="1"/>
        <v>#REF!</v>
      </c>
      <c r="K12" s="23" t="e">
        <f t="shared" si="1"/>
        <v>#REF!</v>
      </c>
    </row>
    <row r="13" spans="1:11" ht="15" customHeight="1" x14ac:dyDescent="0.2">
      <c r="A13" s="24" t="s">
        <v>48</v>
      </c>
      <c r="B13" s="25" t="e">
        <f t="shared" ref="B13:K13" si="2">B11*B12</f>
        <v>#REF!</v>
      </c>
      <c r="C13" s="25" t="e">
        <f t="shared" si="2"/>
        <v>#REF!</v>
      </c>
      <c r="D13" s="25" t="e">
        <f t="shared" si="2"/>
        <v>#REF!</v>
      </c>
      <c r="E13" s="25" t="e">
        <f t="shared" si="2"/>
        <v>#REF!</v>
      </c>
      <c r="F13" s="25" t="e">
        <f t="shared" si="2"/>
        <v>#REF!</v>
      </c>
      <c r="G13" s="25" t="e">
        <f t="shared" si="2"/>
        <v>#REF!</v>
      </c>
      <c r="H13" s="25" t="e">
        <f t="shared" si="2"/>
        <v>#REF!</v>
      </c>
      <c r="I13" s="25" t="e">
        <f t="shared" si="2"/>
        <v>#REF!</v>
      </c>
      <c r="J13" s="25" t="e">
        <f t="shared" si="2"/>
        <v>#REF!</v>
      </c>
      <c r="K13" s="25" t="e">
        <f t="shared" si="2"/>
        <v>#REF!</v>
      </c>
    </row>
    <row r="14" spans="1:11" ht="15" customHeight="1" x14ac:dyDescent="0.2">
      <c r="A14" s="26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5" customHeight="1" x14ac:dyDescent="0.2">
      <c r="A15" s="33" t="s">
        <v>90</v>
      </c>
      <c r="B15" s="34" t="e">
        <f>SUM(B13:K13)</f>
        <v>#REF!</v>
      </c>
      <c r="D15" s="13"/>
      <c r="E15" s="13"/>
      <c r="F15" s="13"/>
      <c r="G15" s="13"/>
      <c r="H15" s="13"/>
      <c r="I15" s="13"/>
      <c r="J15" s="13"/>
      <c r="K15" s="13"/>
    </row>
    <row r="17" spans="1:9" ht="15" customHeight="1" x14ac:dyDescent="0.2">
      <c r="A17" s="27" t="s">
        <v>91</v>
      </c>
      <c r="B17" s="28"/>
      <c r="C17" s="28"/>
      <c r="D17" s="28"/>
      <c r="E17" s="28"/>
      <c r="F17" s="28"/>
      <c r="G17" s="28"/>
      <c r="H17" s="28"/>
      <c r="I17" s="29"/>
    </row>
    <row r="18" spans="1:9" ht="15" customHeight="1" x14ac:dyDescent="0.2">
      <c r="A18" s="30" t="s">
        <v>92</v>
      </c>
      <c r="B18" s="31"/>
      <c r="C18" s="31"/>
      <c r="D18" s="31"/>
      <c r="E18" s="31"/>
      <c r="F18" s="31"/>
      <c r="G18" s="31"/>
      <c r="H18" s="31"/>
      <c r="I18" s="3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K23"/>
  <sheetViews>
    <sheetView workbookViewId="0">
      <selection activeCell="C26" sqref="C26"/>
    </sheetView>
  </sheetViews>
  <sheetFormatPr defaultColWidth="11" defaultRowHeight="12.75" x14ac:dyDescent="0.2"/>
  <cols>
    <col min="1" max="1" width="27" style="10" customWidth="1"/>
    <col min="2" max="2" width="14.5" style="9" customWidth="1"/>
    <col min="3" max="3" width="15.125" style="9" customWidth="1"/>
    <col min="4" max="4" width="13.875" style="9" customWidth="1"/>
    <col min="5" max="11" width="14" style="9" bestFit="1" customWidth="1"/>
    <col min="12" max="12" width="11" style="10" customWidth="1"/>
    <col min="13" max="16384" width="11" style="10"/>
  </cols>
  <sheetData>
    <row r="1" spans="1:11" ht="22.5" customHeight="1" x14ac:dyDescent="0.3">
      <c r="A1" s="8" t="s">
        <v>83</v>
      </c>
    </row>
    <row r="2" spans="1:11" x14ac:dyDescent="0.2">
      <c r="A2" s="10" t="s">
        <v>84</v>
      </c>
    </row>
    <row r="4" spans="1:11" ht="26.25" customHeight="1" x14ac:dyDescent="0.3">
      <c r="A4" s="251" t="s">
        <v>93</v>
      </c>
      <c r="B4" s="252"/>
      <c r="C4" s="252"/>
      <c r="D4" s="252"/>
      <c r="E4" s="252"/>
      <c r="F4" s="252"/>
      <c r="G4" s="252"/>
      <c r="H4" s="252"/>
      <c r="I4" s="252"/>
      <c r="J4" s="252"/>
      <c r="K4" s="252"/>
    </row>
    <row r="5" spans="1:11" x14ac:dyDescent="0.2">
      <c r="D5" s="9" t="s">
        <v>0</v>
      </c>
    </row>
    <row r="7" spans="1:11" ht="15" customHeight="1" x14ac:dyDescent="0.2">
      <c r="A7" s="253" t="s">
        <v>94</v>
      </c>
      <c r="B7" s="216"/>
      <c r="C7" s="3" t="e">
        <f>#REF!</f>
        <v>#REF!</v>
      </c>
      <c r="D7" s="12" t="s">
        <v>95</v>
      </c>
      <c r="E7" s="13"/>
      <c r="F7" s="13"/>
      <c r="G7" s="13"/>
      <c r="H7" s="13"/>
      <c r="I7" s="13"/>
      <c r="J7" s="13"/>
      <c r="K7" s="13"/>
    </row>
    <row r="8" spans="1:11" ht="15" customHeight="1" x14ac:dyDescent="0.2">
      <c r="A8" s="253" t="s">
        <v>96</v>
      </c>
      <c r="B8" s="216"/>
      <c r="C8" s="4" t="e">
        <f>#REF!</f>
        <v>#REF!</v>
      </c>
      <c r="D8" s="1"/>
      <c r="E8" s="2"/>
      <c r="F8" s="2"/>
      <c r="G8" s="2"/>
      <c r="H8" s="2"/>
      <c r="I8" s="2"/>
      <c r="J8" s="2"/>
      <c r="K8" s="2"/>
    </row>
    <row r="9" spans="1:11" ht="15" customHeight="1" x14ac:dyDescent="0.2">
      <c r="A9" s="260" t="s">
        <v>45</v>
      </c>
      <c r="B9" s="256"/>
      <c r="C9" s="6" t="e">
        <f>#REF!</f>
        <v>#REF!</v>
      </c>
      <c r="D9" s="14"/>
      <c r="E9" s="14"/>
      <c r="F9" s="14"/>
      <c r="G9" s="14"/>
      <c r="H9" s="14"/>
      <c r="I9" s="14"/>
      <c r="J9" s="14"/>
      <c r="K9" s="14"/>
    </row>
    <row r="11" spans="1:11" ht="15" customHeight="1" x14ac:dyDescent="0.2">
      <c r="A11" s="14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s="16" customFormat="1" ht="15" customHeight="1" x14ac:dyDescent="0.2">
      <c r="A12" s="15" t="s">
        <v>46</v>
      </c>
      <c r="B12" s="15" t="e">
        <f>#REF!+1</f>
        <v>#REF!</v>
      </c>
      <c r="C12" s="15" t="e">
        <f t="shared" ref="C12:K12" si="0">B12+1</f>
        <v>#REF!</v>
      </c>
      <c r="D12" s="15" t="e">
        <f t="shared" si="0"/>
        <v>#REF!</v>
      </c>
      <c r="E12" s="15" t="e">
        <f t="shared" si="0"/>
        <v>#REF!</v>
      </c>
      <c r="F12" s="15" t="e">
        <f t="shared" si="0"/>
        <v>#REF!</v>
      </c>
      <c r="G12" s="15" t="e">
        <f t="shared" si="0"/>
        <v>#REF!</v>
      </c>
      <c r="H12" s="15" t="e">
        <f t="shared" si="0"/>
        <v>#REF!</v>
      </c>
      <c r="I12" s="15" t="e">
        <f t="shared" si="0"/>
        <v>#REF!</v>
      </c>
      <c r="J12" s="15" t="e">
        <f t="shared" si="0"/>
        <v>#REF!</v>
      </c>
      <c r="K12" s="15" t="e">
        <f t="shared" si="0"/>
        <v>#REF!</v>
      </c>
    </row>
    <row r="13" spans="1:11" s="43" customFormat="1" ht="15" customHeight="1" x14ac:dyDescent="0.2">
      <c r="A13" s="41" t="s">
        <v>97</v>
      </c>
      <c r="B13" s="42" t="e">
        <f>C7*(1+C8)</f>
        <v>#REF!</v>
      </c>
      <c r="C13" s="42" t="e">
        <f t="shared" ref="C13:K13" si="1">B13*(1+$C$8)</f>
        <v>#REF!</v>
      </c>
      <c r="D13" s="42" t="e">
        <f t="shared" si="1"/>
        <v>#REF!</v>
      </c>
      <c r="E13" s="42" t="e">
        <f t="shared" si="1"/>
        <v>#REF!</v>
      </c>
      <c r="F13" s="42" t="e">
        <f t="shared" si="1"/>
        <v>#REF!</v>
      </c>
      <c r="G13" s="42" t="e">
        <f t="shared" si="1"/>
        <v>#REF!</v>
      </c>
      <c r="H13" s="42" t="e">
        <f t="shared" si="1"/>
        <v>#REF!</v>
      </c>
      <c r="I13" s="42" t="e">
        <f t="shared" si="1"/>
        <v>#REF!</v>
      </c>
      <c r="J13" s="42" t="e">
        <f t="shared" si="1"/>
        <v>#REF!</v>
      </c>
      <c r="K13" s="42" t="e">
        <f t="shared" si="1"/>
        <v>#REF!</v>
      </c>
    </row>
    <row r="14" spans="1:11" s="43" customFormat="1" ht="15" customHeight="1" x14ac:dyDescent="0.2">
      <c r="A14" s="44" t="s">
        <v>47</v>
      </c>
      <c r="B14" s="45" t="e">
        <f>1/(1+$C$9)</f>
        <v>#REF!</v>
      </c>
      <c r="C14" s="45" t="e">
        <f t="shared" ref="C14:K14" si="2">B14/(1+$C$9)</f>
        <v>#REF!</v>
      </c>
      <c r="D14" s="45" t="e">
        <f t="shared" si="2"/>
        <v>#REF!</v>
      </c>
      <c r="E14" s="45" t="e">
        <f t="shared" si="2"/>
        <v>#REF!</v>
      </c>
      <c r="F14" s="45" t="e">
        <f t="shared" si="2"/>
        <v>#REF!</v>
      </c>
      <c r="G14" s="45" t="e">
        <f t="shared" si="2"/>
        <v>#REF!</v>
      </c>
      <c r="H14" s="45" t="e">
        <f t="shared" si="2"/>
        <v>#REF!</v>
      </c>
      <c r="I14" s="45" t="e">
        <f t="shared" si="2"/>
        <v>#REF!</v>
      </c>
      <c r="J14" s="45" t="e">
        <f t="shared" si="2"/>
        <v>#REF!</v>
      </c>
      <c r="K14" s="45" t="e">
        <f t="shared" si="2"/>
        <v>#REF!</v>
      </c>
    </row>
    <row r="15" spans="1:11" s="43" customFormat="1" ht="15" customHeight="1" x14ac:dyDescent="0.2">
      <c r="A15" s="46" t="s">
        <v>48</v>
      </c>
      <c r="B15" s="47" t="e">
        <f t="shared" ref="B15:K15" si="3">B13*B14</f>
        <v>#REF!</v>
      </c>
      <c r="C15" s="47" t="e">
        <f t="shared" si="3"/>
        <v>#REF!</v>
      </c>
      <c r="D15" s="47" t="e">
        <f t="shared" si="3"/>
        <v>#REF!</v>
      </c>
      <c r="E15" s="47" t="e">
        <f t="shared" si="3"/>
        <v>#REF!</v>
      </c>
      <c r="F15" s="47" t="e">
        <f t="shared" si="3"/>
        <v>#REF!</v>
      </c>
      <c r="G15" s="47" t="e">
        <f t="shared" si="3"/>
        <v>#REF!</v>
      </c>
      <c r="H15" s="47" t="e">
        <f t="shared" si="3"/>
        <v>#REF!</v>
      </c>
      <c r="I15" s="47" t="e">
        <f t="shared" si="3"/>
        <v>#REF!</v>
      </c>
      <c r="J15" s="47" t="e">
        <f t="shared" si="3"/>
        <v>#REF!</v>
      </c>
      <c r="K15" s="47" t="e">
        <f t="shared" si="3"/>
        <v>#REF!</v>
      </c>
    </row>
    <row r="16" spans="1:11" ht="15" customHeight="1" x14ac:dyDescent="0.2">
      <c r="A16" s="14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5" customHeight="1" x14ac:dyDescent="0.2">
      <c r="A17" s="259" t="s">
        <v>98</v>
      </c>
      <c r="B17" s="216"/>
      <c r="C17" s="7" t="e">
        <f>#REF!</f>
        <v>#REF!</v>
      </c>
      <c r="D17" s="18" t="s">
        <v>95</v>
      </c>
    </row>
    <row r="18" spans="1:11" ht="15.75" customHeight="1" thickBot="1" x14ac:dyDescent="0.25">
      <c r="A18" s="37"/>
      <c r="B18" s="38"/>
      <c r="C18" s="35"/>
      <c r="D18" s="36"/>
    </row>
    <row r="19" spans="1:11" ht="20.25" customHeight="1" thickBot="1" x14ac:dyDescent="0.25">
      <c r="A19" s="257" t="s">
        <v>99</v>
      </c>
      <c r="B19" s="258"/>
      <c r="C19" s="40" t="e">
        <f>B15+C15+D15+E15+F15+G15+H15+I15+J15+K15</f>
        <v>#REF!</v>
      </c>
      <c r="D19" s="39" t="s">
        <v>95</v>
      </c>
      <c r="E19" s="13"/>
      <c r="F19" s="13"/>
      <c r="G19" s="13"/>
      <c r="H19" s="13"/>
      <c r="I19" s="13"/>
      <c r="J19" s="13"/>
      <c r="K19" s="13"/>
    </row>
    <row r="20" spans="1:11" ht="20.25" customHeight="1" thickBot="1" x14ac:dyDescent="0.25">
      <c r="A20" s="246" t="s">
        <v>100</v>
      </c>
      <c r="B20" s="247"/>
      <c r="C20" s="244" t="e">
        <f>C19/C17</f>
        <v>#REF!</v>
      </c>
      <c r="D20" s="245"/>
    </row>
    <row r="22" spans="1:11" ht="15" customHeight="1" x14ac:dyDescent="0.2">
      <c r="A22" s="254" t="s">
        <v>101</v>
      </c>
      <c r="B22" s="255"/>
      <c r="C22" s="255"/>
      <c r="D22" s="255"/>
      <c r="E22" s="255"/>
      <c r="F22" s="255"/>
      <c r="G22" s="255"/>
      <c r="H22" s="255"/>
      <c r="I22" s="255"/>
      <c r="J22" s="256"/>
    </row>
    <row r="23" spans="1:11" ht="15" customHeight="1" x14ac:dyDescent="0.2">
      <c r="A23" s="248" t="s">
        <v>92</v>
      </c>
      <c r="B23" s="249"/>
      <c r="C23" s="249"/>
      <c r="D23" s="249"/>
      <c r="E23" s="249"/>
      <c r="F23" s="249"/>
      <c r="G23" s="249"/>
      <c r="H23" s="249"/>
      <c r="I23" s="249"/>
      <c r="J23" s="250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33"/>
  <sheetViews>
    <sheetView workbookViewId="0"/>
  </sheetViews>
  <sheetFormatPr defaultColWidth="8.375" defaultRowHeight="15.75" outlineLevelRow="1" x14ac:dyDescent="0.25"/>
  <cols>
    <col min="1" max="1" width="3" style="49" customWidth="1"/>
    <col min="2" max="2" width="64.625" style="49" bestFit="1" customWidth="1"/>
    <col min="3" max="3" width="8.375" style="49" customWidth="1"/>
    <col min="4" max="16384" width="8.375" style="49"/>
  </cols>
  <sheetData>
    <row r="2" spans="2:2" ht="31.5" customHeight="1" x14ac:dyDescent="0.25">
      <c r="B2" s="50" t="s">
        <v>102</v>
      </c>
    </row>
    <row r="4" spans="2:2" ht="22.5" customHeight="1" x14ac:dyDescent="0.25">
      <c r="B4" s="156" t="s">
        <v>103</v>
      </c>
    </row>
    <row r="5" spans="2:2" ht="18.75" customHeight="1" outlineLevel="1" x14ac:dyDescent="0.25">
      <c r="B5" s="157" t="s">
        <v>104</v>
      </c>
    </row>
    <row r="6" spans="2:2" ht="18.75" customHeight="1" outlineLevel="1" x14ac:dyDescent="0.25">
      <c r="B6" s="157" t="s">
        <v>105</v>
      </c>
    </row>
    <row r="7" spans="2:2" ht="18.75" customHeight="1" outlineLevel="1" x14ac:dyDescent="0.25">
      <c r="B7" s="157" t="s">
        <v>106</v>
      </c>
    </row>
    <row r="8" spans="2:2" ht="18.75" customHeight="1" outlineLevel="1" x14ac:dyDescent="0.25">
      <c r="B8" s="157" t="s">
        <v>107</v>
      </c>
    </row>
    <row r="9" spans="2:2" ht="18.75" customHeight="1" outlineLevel="1" x14ac:dyDescent="0.25">
      <c r="B9" s="157" t="s">
        <v>108</v>
      </c>
    </row>
    <row r="10" spans="2:2" ht="18.75" customHeight="1" outlineLevel="1" x14ac:dyDescent="0.25">
      <c r="B10" s="157" t="s">
        <v>109</v>
      </c>
    </row>
    <row r="11" spans="2:2" ht="18.75" customHeight="1" outlineLevel="1" x14ac:dyDescent="0.25">
      <c r="B11" s="157" t="s">
        <v>110</v>
      </c>
    </row>
    <row r="12" spans="2:2" ht="18.75" customHeight="1" outlineLevel="1" x14ac:dyDescent="0.25">
      <c r="B12" s="157" t="s">
        <v>111</v>
      </c>
    </row>
    <row r="13" spans="2:2" ht="18.75" customHeight="1" outlineLevel="1" x14ac:dyDescent="0.25">
      <c r="B13" s="157" t="s">
        <v>112</v>
      </c>
    </row>
    <row r="14" spans="2:2" ht="18.75" customHeight="1" outlineLevel="1" x14ac:dyDescent="0.25">
      <c r="B14" s="157" t="s">
        <v>113</v>
      </c>
    </row>
    <row r="15" spans="2:2" ht="18.75" customHeight="1" outlineLevel="1" x14ac:dyDescent="0.25">
      <c r="B15" s="157" t="s">
        <v>114</v>
      </c>
    </row>
    <row r="16" spans="2:2" ht="18.75" customHeight="1" outlineLevel="1" x14ac:dyDescent="0.25">
      <c r="B16" s="157" t="s">
        <v>115</v>
      </c>
    </row>
    <row r="17" spans="2:2" ht="18.75" customHeight="1" outlineLevel="1" x14ac:dyDescent="0.25">
      <c r="B17" s="158"/>
    </row>
    <row r="18" spans="2:2" ht="22.5" customHeight="1" x14ac:dyDescent="0.25">
      <c r="B18" s="156" t="s">
        <v>116</v>
      </c>
    </row>
    <row r="19" spans="2:2" ht="18.75" customHeight="1" outlineLevel="1" x14ac:dyDescent="0.25">
      <c r="B19" s="157" t="s">
        <v>117</v>
      </c>
    </row>
    <row r="20" spans="2:2" ht="18.75" customHeight="1" outlineLevel="1" x14ac:dyDescent="0.25">
      <c r="B20" s="157" t="s">
        <v>118</v>
      </c>
    </row>
    <row r="21" spans="2:2" ht="18.75" customHeight="1" outlineLevel="1" x14ac:dyDescent="0.25">
      <c r="B21" s="157" t="s">
        <v>119</v>
      </c>
    </row>
    <row r="22" spans="2:2" ht="18.75" customHeight="1" outlineLevel="1" x14ac:dyDescent="0.25">
      <c r="B22" s="157" t="s">
        <v>120</v>
      </c>
    </row>
    <row r="23" spans="2:2" ht="18.75" customHeight="1" outlineLevel="1" x14ac:dyDescent="0.25">
      <c r="B23" s="159"/>
    </row>
    <row r="24" spans="2:2" ht="22.5" customHeight="1" x14ac:dyDescent="0.25">
      <c r="B24" s="156" t="s">
        <v>121</v>
      </c>
    </row>
    <row r="25" spans="2:2" ht="19.5" customHeight="1" outlineLevel="1" x14ac:dyDescent="0.25">
      <c r="B25" s="157" t="s">
        <v>122</v>
      </c>
    </row>
    <row r="26" spans="2:2" ht="19.5" customHeight="1" outlineLevel="1" x14ac:dyDescent="0.25">
      <c r="B26" s="157" t="s">
        <v>123</v>
      </c>
    </row>
    <row r="27" spans="2:2" ht="19.5" customHeight="1" outlineLevel="1" x14ac:dyDescent="0.25">
      <c r="B27" s="157" t="s">
        <v>124</v>
      </c>
    </row>
    <row r="28" spans="2:2" ht="19.5" customHeight="1" outlineLevel="1" x14ac:dyDescent="0.25">
      <c r="B28" s="157" t="s">
        <v>125</v>
      </c>
    </row>
    <row r="29" spans="2:2" ht="19.5" customHeight="1" outlineLevel="1" x14ac:dyDescent="0.25">
      <c r="B29" s="157" t="s">
        <v>126</v>
      </c>
    </row>
    <row r="30" spans="2:2" ht="19.5" customHeight="1" outlineLevel="1" x14ac:dyDescent="0.25">
      <c r="B30" s="157" t="s">
        <v>127</v>
      </c>
    </row>
    <row r="31" spans="2:2" ht="19.5" customHeight="1" outlineLevel="1" x14ac:dyDescent="0.25">
      <c r="B31" s="157" t="s">
        <v>128</v>
      </c>
    </row>
    <row r="32" spans="2:2" ht="19.5" customHeight="1" outlineLevel="1" x14ac:dyDescent="0.25">
      <c r="B32" s="157" t="s">
        <v>129</v>
      </c>
    </row>
    <row r="33" spans="2:2" ht="19.5" customHeight="1" outlineLevel="1" x14ac:dyDescent="0.25">
      <c r="B33" s="15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VMI (20y)</vt:lpstr>
      <vt:lpstr>VMI (10y)</vt:lpstr>
      <vt:lpstr>Custom Parameters</vt:lpstr>
      <vt:lpstr>'VMI (10y)'!Print_Area</vt:lpstr>
      <vt:lpstr>'VMI (20y)'!Print_Area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Uq 529</cp:lastModifiedBy>
  <dcterms:created xsi:type="dcterms:W3CDTF">2007-04-04T13:06:54Z</dcterms:created>
  <dcterms:modified xsi:type="dcterms:W3CDTF">2026-07-13T14:11:40Z</dcterms:modified>
</cp:coreProperties>
</file>