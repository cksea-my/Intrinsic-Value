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0" windowWidth="20490" windowHeight="15585" tabRatio="748" firstSheet="0" activeTab="0" autoFilterDateGrouping="1"/>
  </bookViews>
  <sheets>
    <sheet name="VMI (20y)" sheetId="1" state="visible" r:id="rId1"/>
    <sheet name="VMI (10y)" sheetId="2" state="visible" r:id="rId2"/>
    <sheet name="Discounted Earnings Per Share" sheetId="3" state="veryHidden" r:id="rId3"/>
    <sheet name="Discounted Cash Flow" sheetId="4" state="veryHidden" r:id="rId4"/>
    <sheet name="Custom Parameters" sheetId="5" state="visible" r:id="rId5"/>
  </sheets>
  <definedNames>
    <definedName name="CIQWBGuid" hidden="1">"7c1756cb-7794-4f61-a250-ed9ab8f0743f"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43860.301412037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'VMI (20y)'!$B$2:$U$59</definedName>
    <definedName name="_xlnm.Print_Area" localSheetId="1">'VMI (10y)'!$B$2:$U$49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&quot;$&quot;#,##0"/>
    <numFmt numFmtId="166" formatCode="0.0%"/>
    <numFmt numFmtId="167" formatCode="&quot;SGD&quot;&quot;$&quot;#,##0.00\ &quot;millions&quot;"/>
    <numFmt numFmtId="168" formatCode="0.0000"/>
    <numFmt numFmtId="169" formatCode="#,##0.00\ &quot;millions&quot;"/>
    <numFmt numFmtId="170" formatCode="#,##0.0_ &quot;millions&quot;;[Red]\(#,##0.0\ &quot;millions&quot;\)"/>
  </numFmts>
  <fonts count="51">
    <font>
      <name val="Verdana"/>
      <sz val="10"/>
    </font>
    <font>
      <name val="Verdana"/>
      <family val="2"/>
      <sz val="10"/>
    </font>
    <font>
      <name val="Verdana"/>
      <family val="2"/>
      <b val="1"/>
      <color indexed="10"/>
      <sz val="12"/>
    </font>
    <font>
      <name val="Verdana"/>
      <family val="2"/>
      <b val="1"/>
      <color indexed="9"/>
      <sz val="12"/>
    </font>
    <font>
      <name val="Verdana"/>
      <family val="2"/>
      <sz val="8"/>
    </font>
    <font>
      <name val="Verdana"/>
      <family val="2"/>
      <b val="1"/>
      <color indexed="53"/>
      <sz val="12"/>
    </font>
    <font>
      <name val="Verdana"/>
      <family val="2"/>
      <b val="1"/>
      <sz val="10"/>
    </font>
    <font>
      <name val="Verdana"/>
      <family val="2"/>
      <b val="1"/>
      <color indexed="9"/>
      <sz val="10"/>
    </font>
    <font>
      <name val="Verdana"/>
      <family val="2"/>
      <b val="1"/>
      <sz val="12"/>
    </font>
    <font>
      <name val="Verdana"/>
      <family val="2"/>
      <color indexed="9"/>
      <sz val="10"/>
    </font>
    <font>
      <name val="Verdana"/>
      <family val="2"/>
      <b val="1"/>
      <color indexed="10"/>
      <sz val="18"/>
    </font>
    <font>
      <name val="Verdana"/>
      <family val="2"/>
      <sz val="10"/>
    </font>
    <font>
      <name val="Verdana"/>
      <family val="2"/>
      <b val="1"/>
      <color indexed="10"/>
      <sz val="20"/>
    </font>
    <font>
      <name val="Verdana"/>
      <family val="2"/>
      <sz val="12"/>
    </font>
    <font>
      <name val="Verdana"/>
      <family val="2"/>
      <color indexed="9"/>
      <sz val="12"/>
    </font>
    <font>
      <name val="Verdana"/>
      <family val="2"/>
      <color indexed="9"/>
      <sz val="10"/>
    </font>
    <font>
      <name val="Verdana"/>
      <family val="2"/>
      <b val="1"/>
      <color indexed="9"/>
      <sz val="10"/>
    </font>
    <font>
      <name val="Verdana"/>
      <family val="2"/>
      <color theme="10"/>
      <sz val="10"/>
      <u val="single"/>
    </font>
    <font>
      <name val="Verdana"/>
      <family val="2"/>
      <color theme="11"/>
      <sz val="10"/>
      <u val="single"/>
    </font>
    <font>
      <name val="Verdana"/>
      <family val="2"/>
      <b val="1"/>
      <color indexed="81"/>
      <sz val="9"/>
    </font>
    <font>
      <name val="Verdana"/>
      <family val="2"/>
      <b val="1"/>
      <color indexed="81"/>
      <sz val="10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Verdana"/>
      <family val="2"/>
      <b val="1"/>
      <color rgb="FF000000"/>
      <sz val="9"/>
    </font>
    <font>
      <name val="Verdana"/>
      <family val="2"/>
      <b val="1"/>
      <color rgb="FF000000"/>
      <sz val="10"/>
    </font>
    <font>
      <name val="Calibri"/>
      <family val="2"/>
      <color theme="1"/>
      <sz val="12"/>
      <scheme val="minor"/>
    </font>
    <font>
      <name val="Helvetica"/>
      <b val="1"/>
      <color indexed="10"/>
      <sz val="14"/>
    </font>
    <font>
      <name val="Helvetica"/>
      <b val="1"/>
      <sz val="10"/>
    </font>
    <font>
      <name val="Arial"/>
      <family val="2"/>
      <b val="1"/>
      <sz val="12"/>
    </font>
    <font>
      <name val="Arial"/>
      <family val="2"/>
      <b val="1"/>
      <color indexed="9"/>
      <sz val="10"/>
    </font>
    <font>
      <name val="Arial"/>
      <family val="2"/>
      <b val="1"/>
      <color indexed="9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color theme="0"/>
      <sz val="10"/>
    </font>
    <font>
      <name val="Arial"/>
      <family val="2"/>
      <b val="1"/>
      <color indexed="9"/>
      <sz val="20"/>
    </font>
    <font>
      <name val="Arial"/>
      <family val="2"/>
      <b val="1"/>
      <color indexed="13"/>
      <sz val="11"/>
    </font>
    <font>
      <name val="Helvetica"/>
      <b val="1"/>
      <color indexed="10"/>
      <sz val="16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color theme="10"/>
      <sz val="10"/>
      <u val="single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theme="0"/>
      <sz val="12"/>
    </font>
    <font>
      <name val="Arial"/>
      <family val="2"/>
      <color theme="1"/>
      <sz val="11"/>
    </font>
    <font>
      <name val="Arial"/>
      <family val="2"/>
      <sz val="14"/>
    </font>
    <font>
      <name val="Verdana"/>
      <family val="2"/>
      <color theme="1"/>
      <sz val="10"/>
    </font>
    <font>
      <name val="Arial"/>
      <family val="2"/>
      <b val="1"/>
      <color rgb="FFFFFFFF"/>
      <sz val="8"/>
    </font>
    <font>
      <name val="Verdana"/>
      <family val="2"/>
      <b val="1"/>
      <color theme="1"/>
      <sz val="10"/>
    </font>
    <font>
      <name val="Verdana"/>
      <family val="2"/>
      <b val="1"/>
      <color theme="0"/>
      <sz val="11"/>
    </font>
    <font>
      <name val="Verdana"/>
      <family val="2"/>
      <b val="1"/>
      <color theme="1"/>
      <sz val="11"/>
    </font>
  </fonts>
  <fills count="24">
    <fill>
      <patternFill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485D7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A945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9" fontId="11" fillId="0" borderId="0"/>
    <xf numFmtId="0" fontId="17" fillId="0" borderId="0"/>
    <xf numFmtId="0" fontId="18" fillId="0" borderId="0"/>
    <xf numFmtId="0" fontId="21" fillId="0" borderId="0"/>
    <xf numFmtId="9" fontId="21" fillId="0" borderId="0"/>
    <xf numFmtId="0" fontId="25" fillId="0" borderId="0"/>
    <xf numFmtId="9" fontId="25" fillId="0" borderId="0"/>
    <xf numFmtId="44" fontId="25" fillId="0" borderId="0"/>
  </cellStyleXfs>
  <cellXfs count="327">
    <xf numFmtId="0" fontId="0" fillId="0" borderId="0" pivotButton="0" quotePrefix="0" xfId="0"/>
    <xf numFmtId="10" fontId="2" fillId="2" borderId="1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center"/>
    </xf>
    <xf numFmtId="10" fontId="5" fillId="2" borderId="2" applyAlignment="1" pivotButton="0" quotePrefix="0" xfId="0">
      <alignment horizontal="center"/>
    </xf>
    <xf numFmtId="164" fontId="5" fillId="2" borderId="3" applyAlignment="1" pivotButton="0" quotePrefix="0" xfId="0">
      <alignment horizontal="center"/>
    </xf>
    <xf numFmtId="10" fontId="5" fillId="2" borderId="3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3" fillId="4" borderId="3" applyAlignment="1" pivotButton="0" quotePrefix="0" xfId="0">
      <alignment horizontal="center"/>
    </xf>
    <xf numFmtId="0" fontId="9" fillId="0" borderId="0" pivotButton="0" quotePrefix="0" xfId="0"/>
    <xf numFmtId="0" fontId="8" fillId="3" borderId="3" pivotButton="0" quotePrefix="0" xfId="0"/>
    <xf numFmtId="0" fontId="13" fillId="3" borderId="3" applyAlignment="1" pivotButton="0" quotePrefix="0" xfId="0">
      <alignment horizontal="center"/>
    </xf>
    <xf numFmtId="0" fontId="12" fillId="0" borderId="0" pivotButton="0" quotePrefix="0" xfId="0"/>
    <xf numFmtId="0" fontId="8" fillId="2" borderId="3" pivotButton="0" quotePrefix="0" xfId="0"/>
    <xf numFmtId="164" fontId="13" fillId="3" borderId="3" applyAlignment="1" pivotButton="0" quotePrefix="0" xfId="0">
      <alignment horizontal="center"/>
    </xf>
    <xf numFmtId="0" fontId="8" fillId="5" borderId="3" pivotButton="0" quotePrefix="0" xfId="0"/>
    <xf numFmtId="2" fontId="13" fillId="5" borderId="3" applyAlignment="1" pivotButton="0" quotePrefix="0" xfId="0">
      <alignment horizontal="center"/>
    </xf>
    <xf numFmtId="0" fontId="3" fillId="6" borderId="3" pivotButton="0" quotePrefix="0" xfId="0"/>
    <xf numFmtId="164" fontId="14" fillId="6" borderId="3" applyAlignment="1" pivotButton="0" quotePrefix="0" xfId="0">
      <alignment horizontal="center"/>
    </xf>
    <xf numFmtId="0" fontId="8" fillId="0" borderId="0" pivotButton="0" quotePrefix="0" xfId="0"/>
    <xf numFmtId="0" fontId="13" fillId="7" borderId="4" pivotButton="0" quotePrefix="0" xfId="0"/>
    <xf numFmtId="0" fontId="11" fillId="7" borderId="5" applyAlignment="1" pivotButton="0" quotePrefix="0" xfId="0">
      <alignment horizontal="center"/>
    </xf>
    <xf numFmtId="0" fontId="11" fillId="7" borderId="6" applyAlignment="1" pivotButton="0" quotePrefix="0" xfId="0">
      <alignment horizontal="center"/>
    </xf>
    <xf numFmtId="0" fontId="13" fillId="7" borderId="7" pivotButton="0" quotePrefix="0" xfId="0"/>
    <xf numFmtId="0" fontId="11" fillId="7" borderId="8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7" fillId="8" borderId="2" applyAlignment="1" pivotButton="0" quotePrefix="0" xfId="0">
      <alignment horizontal="left" vertical="center"/>
    </xf>
    <xf numFmtId="164" fontId="7" fillId="9" borderId="3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/>
    </xf>
    <xf numFmtId="0" fontId="13" fillId="3" borderId="10" applyAlignment="1" pivotButton="0" quotePrefix="0" xfId="0">
      <alignment horizontal="center"/>
    </xf>
    <xf numFmtId="0" fontId="13" fillId="3" borderId="4" applyAlignment="1" pivotButton="0" quotePrefix="0" xfId="0">
      <alignment horizontal="left"/>
    </xf>
    <xf numFmtId="0" fontId="13" fillId="3" borderId="6" applyAlignment="1" pivotButton="0" quotePrefix="0" xfId="0">
      <alignment horizontal="left"/>
    </xf>
    <xf numFmtId="0" fontId="3" fillId="10" borderId="11" applyAlignment="1" pivotButton="0" quotePrefix="0" xfId="0">
      <alignment horizontal="left" vertical="center"/>
    </xf>
    <xf numFmtId="165" fontId="3" fillId="10" borderId="12" applyAlignment="1" pivotButton="0" quotePrefix="0" xfId="0">
      <alignment horizontal="right" vertical="center"/>
    </xf>
    <xf numFmtId="0" fontId="8" fillId="11" borderId="3" applyAlignment="1" pivotButton="0" quotePrefix="0" xfId="0">
      <alignment vertical="center"/>
    </xf>
    <xf numFmtId="164" fontId="13" fillId="11" borderId="3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3" borderId="3" applyAlignment="1" pivotButton="0" quotePrefix="0" xfId="0">
      <alignment vertical="center"/>
    </xf>
    <xf numFmtId="2" fontId="13" fillId="3" borderId="3" applyAlignment="1" pivotButton="0" quotePrefix="0" xfId="0">
      <alignment horizontal="center" vertical="center"/>
    </xf>
    <xf numFmtId="0" fontId="3" fillId="12" borderId="3" applyAlignment="1" pivotButton="0" quotePrefix="0" xfId="0">
      <alignment vertical="center"/>
    </xf>
    <xf numFmtId="164" fontId="14" fillId="12" borderId="3" applyAlignment="1" pivotButton="0" quotePrefix="0" xfId="0">
      <alignment horizontal="center" vertical="center"/>
    </xf>
    <xf numFmtId="0" fontId="1" fillId="0" borderId="0" pivotButton="0" quotePrefix="0" xfId="0"/>
    <xf numFmtId="0" fontId="25" fillId="14" borderId="0" pivotButton="0" quotePrefix="0" xfId="30"/>
    <xf numFmtId="0" fontId="22" fillId="15" borderId="0" applyAlignment="1" pivotButton="0" quotePrefix="0" xfId="30">
      <alignment wrapText="1"/>
    </xf>
    <xf numFmtId="0" fontId="1" fillId="16" borderId="0" applyAlignment="1" pivotButton="0" quotePrefix="0" xfId="0">
      <alignment vertical="center"/>
    </xf>
    <xf numFmtId="0" fontId="11" fillId="16" borderId="0" applyAlignment="1" pivotButton="0" quotePrefix="0" xfId="0">
      <alignment vertical="center"/>
    </xf>
    <xf numFmtId="0" fontId="11" fillId="17" borderId="13" pivotButton="0" quotePrefix="0" xfId="0"/>
    <xf numFmtId="0" fontId="11" fillId="17" borderId="14" pivotButton="0" quotePrefix="0" xfId="0"/>
    <xf numFmtId="0" fontId="11" fillId="17" borderId="14" applyAlignment="1" pivotButton="0" quotePrefix="0" xfId="0">
      <alignment horizontal="center"/>
    </xf>
    <xf numFmtId="0" fontId="11" fillId="17" borderId="15" pivotButton="0" quotePrefix="0" xfId="0"/>
    <xf numFmtId="0" fontId="11" fillId="16" borderId="0" pivotButton="0" quotePrefix="0" xfId="0"/>
    <xf numFmtId="0" fontId="10" fillId="16" borderId="0" pivotButton="0" quotePrefix="0" xfId="0"/>
    <xf numFmtId="0" fontId="11" fillId="16" borderId="0" applyAlignment="1" pivotButton="0" quotePrefix="0" xfId="0">
      <alignment horizontal="center"/>
    </xf>
    <xf numFmtId="0" fontId="11" fillId="18" borderId="16" pivotButton="0" quotePrefix="0" xfId="0"/>
    <xf numFmtId="0" fontId="11" fillId="18" borderId="0" pivotButton="0" quotePrefix="0" xfId="0"/>
    <xf numFmtId="0" fontId="7" fillId="18" borderId="0" applyAlignment="1" pivotButton="0" quotePrefix="0" xfId="0">
      <alignment horizontal="center"/>
    </xf>
    <xf numFmtId="0" fontId="9" fillId="18" borderId="0" applyAlignment="1" pivotButton="0" quotePrefix="0" xfId="0">
      <alignment horizontal="center"/>
    </xf>
    <xf numFmtId="0" fontId="9" fillId="18" borderId="0" pivotButton="0" quotePrefix="0" xfId="0"/>
    <xf numFmtId="0" fontId="11" fillId="18" borderId="17" pivotButton="0" quotePrefix="0" xfId="0"/>
    <xf numFmtId="0" fontId="26" fillId="18" borderId="0" pivotButton="0" quotePrefix="0" xfId="0"/>
    <xf numFmtId="0" fontId="27" fillId="18" borderId="0" applyAlignment="1" pivotButton="0" quotePrefix="0" xfId="0">
      <alignment horizontal="center"/>
    </xf>
    <xf numFmtId="0" fontId="6" fillId="18" borderId="0" applyAlignment="1" pivotButton="0" quotePrefix="0" xfId="0">
      <alignment horizontal="center"/>
    </xf>
    <xf numFmtId="0" fontId="11" fillId="18" borderId="0" applyAlignment="1" pivotButton="0" quotePrefix="0" xfId="0">
      <alignment horizontal="center"/>
    </xf>
    <xf numFmtId="0" fontId="8" fillId="18" borderId="0" pivotButton="0" quotePrefix="0" xfId="0"/>
    <xf numFmtId="164" fontId="8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11" fillId="18" borderId="0" applyAlignment="1" pivotButton="0" quotePrefix="0" xfId="0">
      <alignment vertical="center"/>
    </xf>
    <xf numFmtId="0" fontId="0" fillId="18" borderId="16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vertical="center"/>
    </xf>
    <xf numFmtId="9" fontId="8" fillId="18" borderId="0" applyAlignment="1" pivotButton="0" quotePrefix="0" xfId="1">
      <alignment horizontal="center" vertical="center"/>
    </xf>
    <xf numFmtId="2" fontId="11" fillId="18" borderId="3" applyAlignment="1" pivotButton="0" quotePrefix="0" xfId="0">
      <alignment horizontal="center" vertical="center"/>
    </xf>
    <xf numFmtId="0" fontId="11" fillId="18" borderId="14" pivotButton="0" quotePrefix="0" xfId="0"/>
    <xf numFmtId="0" fontId="11" fillId="18" borderId="13" pivotButton="0" quotePrefix="0" xfId="0"/>
    <xf numFmtId="0" fontId="11" fillId="18" borderId="15" pivotButton="0" quotePrefix="0" xfId="0"/>
    <xf numFmtId="0" fontId="33" fillId="18" borderId="0" applyAlignment="1" pivotButton="0" quotePrefix="0" xfId="0">
      <alignment horizontal="left" vertical="center" indent="1"/>
    </xf>
    <xf numFmtId="0" fontId="11" fillId="17" borderId="31" applyAlignment="1" pivotButton="0" quotePrefix="0" xfId="0">
      <alignment horizontal="center"/>
    </xf>
    <xf numFmtId="0" fontId="7" fillId="17" borderId="3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7" borderId="2" applyAlignment="1" pivotButton="0" quotePrefix="0" xfId="0">
      <alignment vertical="center"/>
    </xf>
    <xf numFmtId="0" fontId="7" fillId="17" borderId="1" applyAlignment="1" pivotButton="0" quotePrefix="0" xfId="0">
      <alignment vertical="center"/>
    </xf>
    <xf numFmtId="0" fontId="11" fillId="17" borderId="1" pivotButton="0" quotePrefix="0" xfId="0"/>
    <xf numFmtId="0" fontId="29" fillId="17" borderId="2" applyAlignment="1" pivotButton="0" quotePrefix="0" xfId="0">
      <alignment horizontal="left" vertical="center" indent="1"/>
    </xf>
    <xf numFmtId="0" fontId="29" fillId="17" borderId="31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0" fontId="30" fillId="18" borderId="0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vertical="center" indent="1"/>
    </xf>
    <xf numFmtId="0" fontId="28" fillId="18" borderId="0" applyAlignment="1" pivotButton="0" quotePrefix="0" xfId="0">
      <alignment horizontal="left" vertical="center" indent="1"/>
    </xf>
    <xf numFmtId="164" fontId="29" fillId="17" borderId="2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indent="1"/>
    </xf>
    <xf numFmtId="0" fontId="7" fillId="17" borderId="31" applyAlignment="1" pivotButton="0" quotePrefix="0" xfId="0">
      <alignment vertical="center"/>
    </xf>
    <xf numFmtId="164" fontId="11" fillId="20" borderId="3" applyAlignment="1" pivotButton="0" quotePrefix="0" xfId="0">
      <alignment horizontal="center" vertical="center"/>
    </xf>
    <xf numFmtId="0" fontId="16" fillId="19" borderId="2" applyAlignment="1" pivotButton="0" quotePrefix="0" xfId="0">
      <alignment horizontal="right" vertical="center"/>
    </xf>
    <xf numFmtId="0" fontId="16" fillId="19" borderId="31" applyAlignment="1" pivotButton="0" quotePrefix="0" xfId="0">
      <alignment horizontal="right" vertical="center"/>
    </xf>
    <xf numFmtId="0" fontId="11" fillId="19" borderId="1" applyAlignment="1" pivotButton="0" quotePrefix="0" xfId="0">
      <alignment vertical="center"/>
    </xf>
    <xf numFmtId="0" fontId="16" fillId="19" borderId="3" applyAlignment="1" pivotButton="0" quotePrefix="0" xfId="0">
      <alignment horizontal="center" vertical="center"/>
    </xf>
    <xf numFmtId="0" fontId="6" fillId="18" borderId="2" applyAlignment="1" pivotButton="0" quotePrefix="0" xfId="0">
      <alignment vertical="center"/>
    </xf>
    <xf numFmtId="0" fontId="6" fillId="18" borderId="31" applyAlignment="1" pivotButton="0" quotePrefix="0" xfId="0">
      <alignment vertical="center"/>
    </xf>
    <xf numFmtId="0" fontId="6" fillId="18" borderId="1" applyAlignment="1" pivotButton="0" quotePrefix="0" xfId="0">
      <alignment vertical="center"/>
    </xf>
    <xf numFmtId="0" fontId="16" fillId="21" borderId="2" applyAlignment="1" pivotButton="0" quotePrefix="0" xfId="0">
      <alignment vertical="center"/>
    </xf>
    <xf numFmtId="0" fontId="16" fillId="21" borderId="31" applyAlignment="1" pivotButton="0" quotePrefix="0" xfId="0">
      <alignment vertical="center"/>
    </xf>
    <xf numFmtId="0" fontId="16" fillId="21" borderId="1" applyAlignment="1" pivotButton="0" quotePrefix="0" xfId="0">
      <alignment vertical="center"/>
    </xf>
    <xf numFmtId="164" fontId="15" fillId="21" borderId="3" applyAlignment="1" pivotButton="0" quotePrefix="0" xfId="0">
      <alignment horizontal="center" vertical="center"/>
    </xf>
    <xf numFmtId="0" fontId="37" fillId="18" borderId="0" pivotButton="0" quotePrefix="0" xfId="0"/>
    <xf numFmtId="0" fontId="13" fillId="16" borderId="0" pivotButton="0" quotePrefix="0" xfId="0"/>
    <xf numFmtId="0" fontId="1" fillId="16" borderId="0" pivotButton="0" quotePrefix="0" xfId="0"/>
    <xf numFmtId="0" fontId="13" fillId="16" borderId="0" applyAlignment="1" pivotButton="0" quotePrefix="0" xfId="0">
      <alignment vertical="center"/>
    </xf>
    <xf numFmtId="0" fontId="21" fillId="16" borderId="0" pivotButton="0" quotePrefix="0" xfId="0"/>
    <xf numFmtId="0" fontId="28" fillId="16" borderId="0" pivotButton="0" quotePrefix="0" xfId="0"/>
    <xf numFmtId="0" fontId="38" fillId="16" borderId="0" pivotButton="0" quotePrefix="0" xfId="0"/>
    <xf numFmtId="49" fontId="32" fillId="16" borderId="0" applyAlignment="1" pivotButton="0" quotePrefix="0" xfId="0">
      <alignment horizontal="left"/>
    </xf>
    <xf numFmtId="0" fontId="28" fillId="16" borderId="0" applyAlignment="1" pivotButton="0" quotePrefix="0" xfId="0">
      <alignment horizontal="left"/>
    </xf>
    <xf numFmtId="49" fontId="28" fillId="16" borderId="0" applyAlignment="1" pivotButton="0" quotePrefix="0" xfId="0">
      <alignment horizontal="left"/>
    </xf>
    <xf numFmtId="0" fontId="30" fillId="17" borderId="12" applyAlignment="1" pivotButton="0" quotePrefix="0" xfId="0">
      <alignment horizontal="left" vertical="center"/>
    </xf>
    <xf numFmtId="0" fontId="30" fillId="17" borderId="21" applyAlignment="1" pivotButton="0" quotePrefix="0" xfId="0">
      <alignment horizontal="left" vertical="center"/>
    </xf>
    <xf numFmtId="0" fontId="39" fillId="17" borderId="11" applyAlignment="1" pivotButton="0" quotePrefix="0" xfId="0">
      <alignment horizontal="left" vertical="center"/>
    </xf>
    <xf numFmtId="0" fontId="21" fillId="16" borderId="0" applyAlignment="1" pivotButton="0" quotePrefix="0" xfId="0">
      <alignment vertical="center"/>
    </xf>
    <xf numFmtId="0" fontId="38" fillId="16" borderId="0" applyAlignment="1" pivotButton="0" quotePrefix="0" xfId="0">
      <alignment vertical="center"/>
    </xf>
    <xf numFmtId="0" fontId="38" fillId="16" borderId="0" applyAlignment="1" pivotButton="0" quotePrefix="0" xfId="0">
      <alignment horizontal="center" vertical="center"/>
    </xf>
    <xf numFmtId="0" fontId="40" fillId="16" borderId="0" pivotButton="0" quotePrefix="0" xfId="33"/>
    <xf numFmtId="0" fontId="41" fillId="16" borderId="0" pivotButton="0" quotePrefix="0" xfId="0"/>
    <xf numFmtId="0" fontId="30" fillId="17" borderId="12" applyAlignment="1" pivotButton="0" quotePrefix="0" xfId="0">
      <alignment vertical="center"/>
    </xf>
    <xf numFmtId="0" fontId="30" fillId="17" borderId="21" applyAlignment="1" pivotButton="0" quotePrefix="0" xfId="0">
      <alignment vertical="center"/>
    </xf>
    <xf numFmtId="0" fontId="39" fillId="17" borderId="11" applyAlignment="1" pivotButton="0" quotePrefix="0" xfId="0">
      <alignment vertical="center"/>
    </xf>
    <xf numFmtId="0" fontId="30" fillId="17" borderId="11" applyAlignment="1" pivotButton="0" quotePrefix="0" xfId="0">
      <alignment vertical="center"/>
    </xf>
    <xf numFmtId="0" fontId="32" fillId="16" borderId="19" applyAlignment="1" pivotButton="0" quotePrefix="0" xfId="0">
      <alignment vertical="center"/>
    </xf>
    <xf numFmtId="0" fontId="32" fillId="16" borderId="20" applyAlignment="1" pivotButton="0" quotePrefix="0" xfId="0">
      <alignment vertical="center"/>
    </xf>
    <xf numFmtId="0" fontId="32" fillId="16" borderId="27" applyAlignment="1" pivotButton="0" quotePrefix="0" xfId="0">
      <alignment vertical="center"/>
    </xf>
    <xf numFmtId="0" fontId="32" fillId="16" borderId="16" applyAlignment="1" pivotButton="0" quotePrefix="0" xfId="0">
      <alignment vertical="center"/>
    </xf>
    <xf numFmtId="0" fontId="32" fillId="16" borderId="17" applyAlignment="1" pivotButton="0" quotePrefix="0" xfId="0">
      <alignment vertical="center"/>
    </xf>
    <xf numFmtId="0" fontId="32" fillId="16" borderId="29" applyAlignment="1" pivotButton="0" quotePrefix="0" xfId="0">
      <alignment vertical="center"/>
    </xf>
    <xf numFmtId="0" fontId="32" fillId="16" borderId="13" applyAlignment="1" pivotButton="0" quotePrefix="0" xfId="0">
      <alignment vertical="center"/>
    </xf>
    <xf numFmtId="0" fontId="32" fillId="16" borderId="15" applyAlignment="1" pivotButton="0" quotePrefix="0" xfId="0">
      <alignment vertical="center"/>
    </xf>
    <xf numFmtId="0" fontId="32" fillId="16" borderId="28" applyAlignment="1" pivotButton="0" quotePrefix="0" xfId="0">
      <alignment vertical="center"/>
    </xf>
    <xf numFmtId="0" fontId="1" fillId="16" borderId="0" applyAlignment="1" pivotButton="0" quotePrefix="0" xfId="0">
      <alignment horizontal="center"/>
    </xf>
    <xf numFmtId="0" fontId="31" fillId="16" borderId="19" applyAlignment="1" pivotButton="0" quotePrefix="0" xfId="0">
      <alignment vertical="center"/>
    </xf>
    <xf numFmtId="0" fontId="31" fillId="16" borderId="18" applyAlignment="1" pivotButton="0" quotePrefix="0" xfId="0">
      <alignment vertical="center"/>
    </xf>
    <xf numFmtId="166" fontId="31" fillId="16" borderId="19" applyAlignment="1" pivotButton="0" quotePrefix="0" xfId="0">
      <alignment horizontal="left" vertical="center"/>
    </xf>
    <xf numFmtId="0" fontId="31" fillId="16" borderId="16" applyAlignment="1" pivotButton="0" quotePrefix="0" xfId="0">
      <alignment horizontal="left" vertical="center"/>
    </xf>
    <xf numFmtId="0" fontId="31" fillId="16" borderId="0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0" fontId="31" fillId="16" borderId="13" applyAlignment="1" pivotButton="0" quotePrefix="0" xfId="0">
      <alignment horizontal="left" vertical="center"/>
    </xf>
    <xf numFmtId="0" fontId="31" fillId="16" borderId="14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0" fontId="31" fillId="16" borderId="20" applyAlignment="1" pivotButton="0" quotePrefix="0" xfId="0">
      <alignment vertical="center"/>
    </xf>
    <xf numFmtId="166" fontId="31" fillId="16" borderId="18" applyAlignment="1" pivotButton="0" quotePrefix="0" xfId="0">
      <alignment horizontal="left" vertical="center"/>
    </xf>
    <xf numFmtId="0" fontId="31" fillId="16" borderId="17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0" fontId="31" fillId="16" borderId="15" applyAlignment="1" pivotButton="0" quotePrefix="0" xfId="0">
      <alignment horizontal="left" vertical="center"/>
    </xf>
    <xf numFmtId="0" fontId="43" fillId="19" borderId="10" applyAlignment="1" pivotButton="0" quotePrefix="0" xfId="30">
      <alignment vertical="center"/>
    </xf>
    <xf numFmtId="0" fontId="44" fillId="14" borderId="30" applyAlignment="1" pivotButton="0" quotePrefix="0" xfId="30">
      <alignment vertical="center"/>
    </xf>
    <xf numFmtId="0" fontId="44" fillId="14" borderId="26" applyAlignment="1" pivotButton="0" quotePrefix="0" xfId="30">
      <alignment vertical="center"/>
    </xf>
    <xf numFmtId="0" fontId="25" fillId="14" borderId="26" applyAlignment="1" pivotButton="0" quotePrefix="0" xfId="30">
      <alignment vertical="center"/>
    </xf>
    <xf numFmtId="0" fontId="29" fillId="18" borderId="0" applyAlignment="1" pivotButton="0" quotePrefix="0" xfId="0">
      <alignment horizontal="left" vertical="center" indent="1"/>
    </xf>
    <xf numFmtId="0" fontId="42" fillId="18" borderId="0" applyAlignment="1" pivotButton="0" quotePrefix="0" xfId="0">
      <alignment horizontal="left" vertical="center" indent="1"/>
    </xf>
    <xf numFmtId="0" fontId="1" fillId="18" borderId="0" applyAlignment="1" pivotButton="0" quotePrefix="0" xfId="0">
      <alignment horizontal="left" indent="1"/>
    </xf>
    <xf numFmtId="0" fontId="7" fillId="18" borderId="0" applyAlignment="1" pivotButton="0" quotePrefix="0" xfId="0">
      <alignment horizontal="left" vertical="center" indent="1"/>
    </xf>
    <xf numFmtId="0" fontId="7" fillId="17" borderId="31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left" vertical="center" indent="1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38" fillId="0" borderId="0" pivotButton="0" quotePrefix="0" xfId="0"/>
    <xf numFmtId="0" fontId="40" fillId="16" borderId="0" pivotButton="0" quotePrefix="0" xfId="33"/>
    <xf numFmtId="0" fontId="42" fillId="16" borderId="0" pivotButton="0" quotePrefix="0" xfId="0"/>
    <xf numFmtId="0" fontId="30" fillId="17" borderId="18" applyAlignment="1" pivotButton="0" quotePrefix="0" xfId="0">
      <alignment vertical="center"/>
    </xf>
    <xf numFmtId="0" fontId="39" fillId="17" borderId="20" applyAlignment="1" pivotButton="0" quotePrefix="0" xfId="0">
      <alignment vertical="center"/>
    </xf>
    <xf numFmtId="0" fontId="30" fillId="17" borderId="19" applyAlignment="1" pivotButton="0" quotePrefix="0" xfId="0">
      <alignment vertical="center"/>
    </xf>
    <xf numFmtId="0" fontId="31" fillId="16" borderId="16" applyAlignment="1" pivotButton="0" quotePrefix="0" xfId="0">
      <alignment vertical="center"/>
    </xf>
    <xf numFmtId="0" fontId="31" fillId="16" borderId="0" applyAlignment="1" pivotButton="0" quotePrefix="0" xfId="0">
      <alignment vertical="center"/>
    </xf>
    <xf numFmtId="0" fontId="30" fillId="17" borderId="20" applyAlignment="1" pivotButton="0" quotePrefix="0" xfId="0">
      <alignment vertical="center"/>
    </xf>
    <xf numFmtId="0" fontId="1" fillId="14" borderId="0" pivotButton="0" quotePrefix="0" xfId="0"/>
    <xf numFmtId="0" fontId="1" fillId="14" borderId="0" applyAlignment="1" pivotButton="0" quotePrefix="0" xfId="0">
      <alignment vertical="center"/>
    </xf>
    <xf numFmtId="0" fontId="11" fillId="14" borderId="0" applyAlignment="1" pivotButton="0" quotePrefix="0" xfId="0">
      <alignment vertical="center"/>
    </xf>
    <xf numFmtId="0" fontId="11" fillId="14" borderId="0" pivotButton="0" quotePrefix="0" xfId="0"/>
    <xf numFmtId="0" fontId="38" fillId="14" borderId="0" pivotButton="0" quotePrefix="0" xfId="0"/>
    <xf numFmtId="0" fontId="21" fillId="14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45" fillId="0" borderId="0" pivotButton="0" quotePrefix="0" xfId="0"/>
    <xf numFmtId="0" fontId="1" fillId="0" borderId="0" applyAlignment="1" pivotButton="0" quotePrefix="0" xfId="0">
      <alignment vertical="center"/>
    </xf>
    <xf numFmtId="0" fontId="45" fillId="14" borderId="0" pivotButton="0" quotePrefix="0" xfId="0"/>
    <xf numFmtId="0" fontId="1" fillId="18" borderId="0" applyAlignment="1" pivotButton="0" quotePrefix="0" xfId="0">
      <alignment horizontal="center"/>
    </xf>
    <xf numFmtId="0" fontId="42" fillId="14" borderId="1" applyAlignment="1" pivotButton="0" quotePrefix="0" xfId="0">
      <alignment horizontal="center" vertical="center"/>
    </xf>
    <xf numFmtId="0" fontId="46" fillId="18" borderId="0" applyAlignment="1" pivotButton="0" quotePrefix="0" xfId="0">
      <alignment horizontal="center"/>
    </xf>
    <xf numFmtId="164" fontId="6" fillId="18" borderId="0" applyAlignment="1" pivotButton="0" quotePrefix="0" xfId="0">
      <alignment horizontal="center"/>
    </xf>
    <xf numFmtId="167" fontId="6" fillId="14" borderId="2" applyAlignment="1" pivotButton="0" quotePrefix="0" xfId="0">
      <alignment horizontal="right" vertical="center"/>
    </xf>
    <xf numFmtId="9" fontId="6" fillId="18" borderId="0" applyAlignment="1" pivotButton="0" quotePrefix="0" xfId="1">
      <alignment horizontal="center" vertical="center"/>
    </xf>
    <xf numFmtId="0" fontId="34" fillId="17" borderId="1" applyAlignment="1" pivotButton="0" quotePrefix="0" xfId="0">
      <alignment horizontal="center" vertical="center"/>
    </xf>
    <xf numFmtId="164" fontId="48" fillId="14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0" fontId="32" fillId="16" borderId="0" pivotButton="0" quotePrefix="0" xfId="0"/>
    <xf numFmtId="49" fontId="31" fillId="16" borderId="0" applyAlignment="1" pivotButton="0" quotePrefix="0" xfId="0">
      <alignment horizontal="left" vertical="center"/>
    </xf>
    <xf numFmtId="0" fontId="32" fillId="16" borderId="0" applyAlignment="1" pivotButton="0" quotePrefix="0" xfId="0">
      <alignment vertical="center"/>
    </xf>
    <xf numFmtId="0" fontId="32" fillId="14" borderId="0" pivotButton="0" quotePrefix="0" xfId="0"/>
    <xf numFmtId="0" fontId="31" fillId="16" borderId="0" applyAlignment="1" pivotButton="0" quotePrefix="0" xfId="0">
      <alignment horizontal="right" vertical="center"/>
    </xf>
    <xf numFmtId="10" fontId="31" fillId="16" borderId="3" applyAlignment="1" pivotButton="0" quotePrefix="0" xfId="1">
      <alignment horizontal="center" vertical="center"/>
    </xf>
    <xf numFmtId="0" fontId="11" fillId="22" borderId="0" pivotButton="0" quotePrefix="0" xfId="0"/>
    <xf numFmtId="0" fontId="1" fillId="22" borderId="0" applyAlignment="1" pivotButton="0" quotePrefix="0" xfId="0">
      <alignment horizontal="center"/>
    </xf>
    <xf numFmtId="0" fontId="1" fillId="22" borderId="0" pivotButton="0" quotePrefix="0" xfId="0"/>
    <xf numFmtId="0" fontId="34" fillId="17" borderId="2" applyAlignment="1" pivotButton="0" quotePrefix="0" xfId="0">
      <alignment horizontal="right" vertical="center"/>
    </xf>
    <xf numFmtId="167" fontId="49" fillId="19" borderId="2" applyAlignment="1" pivotButton="0" quotePrefix="0" xfId="0">
      <alignment horizontal="right" vertical="center"/>
    </xf>
    <xf numFmtId="0" fontId="32" fillId="16" borderId="0" applyAlignment="1" pivotButton="0" quotePrefix="0" xfId="0">
      <alignment horizontal="center" vertical="center"/>
    </xf>
    <xf numFmtId="169" fontId="1" fillId="18" borderId="0" applyAlignment="1" pivotButton="0" quotePrefix="0" xfId="0">
      <alignment horizontal="left" vertical="center" indent="2"/>
    </xf>
    <xf numFmtId="169" fontId="1" fillId="18" borderId="0" applyAlignment="1" pivotButton="0" quotePrefix="0" xfId="0">
      <alignment horizontal="left" indent="2"/>
    </xf>
    <xf numFmtId="167" fontId="6" fillId="20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6" fontId="31" fillId="16" borderId="14" applyAlignment="1" pivotButton="0" quotePrefix="0" xfId="0">
      <alignment horizontal="left" vertical="center"/>
    </xf>
    <xf numFmtId="0" fontId="1" fillId="18" borderId="16" pivotButton="0" quotePrefix="0" xfId="0"/>
    <xf numFmtId="0" fontId="1" fillId="16" borderId="0" applyAlignment="1" pivotButton="0" quotePrefix="0" xfId="0">
      <alignment horizontal="right" vertical="center"/>
    </xf>
    <xf numFmtId="0" fontId="6" fillId="14" borderId="2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70" fontId="6" fillId="14" borderId="2" applyAlignment="1" pivotButton="0" quotePrefix="0" xfId="1">
      <alignment horizontal="center" vertical="center"/>
    </xf>
    <xf numFmtId="170" fontId="6" fillId="14" borderId="31" applyAlignment="1" pivotButton="0" quotePrefix="0" xfId="1">
      <alignment horizontal="center" vertical="center"/>
    </xf>
    <xf numFmtId="170" fontId="6" fillId="14" borderId="1" applyAlignment="1" pivotButton="0" quotePrefix="0" xfId="1">
      <alignment horizontal="center" vertical="center"/>
    </xf>
    <xf numFmtId="166" fontId="6" fillId="14" borderId="2" applyAlignment="1" pivotButton="0" quotePrefix="0" xfId="1">
      <alignment horizontal="center" vertical="center"/>
    </xf>
    <xf numFmtId="166" fontId="6" fillId="14" borderId="1" applyAlignment="1" pivotButton="0" quotePrefix="0" xfId="1">
      <alignment horizontal="center" vertical="center"/>
    </xf>
    <xf numFmtId="0" fontId="6" fillId="20" borderId="2" applyAlignment="1" pivotButton="0" quotePrefix="0" xfId="0">
      <alignment horizontal="left" vertical="center"/>
    </xf>
    <xf numFmtId="0" fontId="6" fillId="20" borderId="3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11" fillId="16" borderId="0" applyAlignment="1" pivotButton="0" quotePrefix="0" xfId="0">
      <alignment horizontal="center" vertical="center"/>
    </xf>
    <xf numFmtId="10" fontId="6" fillId="14" borderId="2" applyAlignment="1" pivotButton="0" quotePrefix="0" xfId="1">
      <alignment horizontal="center" vertical="center"/>
    </xf>
    <xf numFmtId="10" fontId="6" fillId="14" borderId="31" applyAlignment="1" pivotButton="0" quotePrefix="0" xfId="1">
      <alignment horizontal="center" vertical="center"/>
    </xf>
    <xf numFmtId="10" fontId="6" fillId="14" borderId="1" applyAlignment="1" pivotButton="0" quotePrefix="0" xfId="1">
      <alignment horizontal="center" vertical="center"/>
    </xf>
    <xf numFmtId="0" fontId="29" fillId="17" borderId="2" applyAlignment="1" pivotButton="0" quotePrefix="0" xfId="0">
      <alignment horizontal="left" vertical="center" wrapText="1" indent="1"/>
    </xf>
    <xf numFmtId="0" fontId="29" fillId="17" borderId="31" applyAlignment="1" pivotButton="0" quotePrefix="0" xfId="0">
      <alignment horizontal="left" vertical="center" indent="1"/>
    </xf>
    <xf numFmtId="4" fontId="49" fillId="19" borderId="31" applyAlignment="1" pivotButton="0" quotePrefix="0" xfId="0">
      <alignment horizontal="center" vertical="center"/>
    </xf>
    <xf numFmtId="4" fontId="49" fillId="19" borderId="1" applyAlignment="1" pivotButton="0" quotePrefix="0" xfId="0">
      <alignment horizontal="center" vertical="center"/>
    </xf>
    <xf numFmtId="10" fontId="49" fillId="19" borderId="2" applyAlignment="1" pivotButton="0" quotePrefix="0" xfId="1">
      <alignment horizontal="center" vertical="center"/>
    </xf>
    <xf numFmtId="10" fontId="49" fillId="19" borderId="1" applyAlignment="1" pivotButton="0" quotePrefix="0" xfId="1">
      <alignment horizontal="center" vertical="center"/>
    </xf>
    <xf numFmtId="4" fontId="48" fillId="14" borderId="31" applyAlignment="1" pivotButton="0" quotePrefix="0" xfId="0">
      <alignment horizontal="center" vertical="center"/>
    </xf>
    <xf numFmtId="4" fontId="48" fillId="14" borderId="1" applyAlignment="1" pivotButton="0" quotePrefix="0" xfId="0">
      <alignment horizontal="center" vertical="center"/>
    </xf>
    <xf numFmtId="0" fontId="29" fillId="17" borderId="2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169" fontId="6" fillId="14" borderId="31" applyAlignment="1" pivotButton="0" quotePrefix="0" xfId="0">
      <alignment horizontal="left" vertical="center" indent="2"/>
    </xf>
    <xf numFmtId="169" fontId="6" fillId="14" borderId="1" applyAlignment="1" pivotButton="0" quotePrefix="0" xfId="0">
      <alignment horizontal="left" vertical="center" indent="2"/>
    </xf>
    <xf numFmtId="4" fontId="6" fillId="20" borderId="31" applyAlignment="1" pivotButton="0" quotePrefix="0" xfId="0">
      <alignment horizontal="center" vertical="center"/>
    </xf>
    <xf numFmtId="4" fontId="6" fillId="20" borderId="1" applyAlignment="1" pivotButton="0" quotePrefix="0" xfId="0">
      <alignment horizontal="center" vertical="center"/>
    </xf>
    <xf numFmtId="4" fontId="50" fillId="23" borderId="31" applyAlignment="1" pivotButton="0" quotePrefix="0" xfId="0">
      <alignment horizontal="center" vertical="center"/>
    </xf>
    <xf numFmtId="4" fontId="50" fillId="23" borderId="1" applyAlignment="1" pivotButton="0" quotePrefix="0" xfId="0">
      <alignment horizontal="center" vertical="center"/>
    </xf>
    <xf numFmtId="0" fontId="35" fillId="17" borderId="19" applyAlignment="1" pivotButton="0" quotePrefix="0" xfId="0">
      <alignment horizontal="center"/>
    </xf>
    <xf numFmtId="0" fontId="35" fillId="17" borderId="18" applyAlignment="1" pivotButton="0" quotePrefix="0" xfId="0">
      <alignment horizontal="center"/>
    </xf>
    <xf numFmtId="0" fontId="35" fillId="17" borderId="20" applyAlignment="1" pivotButton="0" quotePrefix="0" xfId="0">
      <alignment horizontal="center"/>
    </xf>
    <xf numFmtId="0" fontId="36" fillId="17" borderId="16" applyAlignment="1" pivotButton="0" quotePrefix="0" xfId="0">
      <alignment horizontal="center" vertical="top"/>
    </xf>
    <xf numFmtId="0" fontId="36" fillId="17" borderId="0" applyAlignment="1" pivotButton="0" quotePrefix="0" xfId="0">
      <alignment horizontal="center" vertical="top"/>
    </xf>
    <xf numFmtId="0" fontId="36" fillId="17" borderId="17" applyAlignment="1" pivotButton="0" quotePrefix="0" xfId="0">
      <alignment horizontal="center" vertical="top"/>
    </xf>
    <xf numFmtId="164" fontId="6" fillId="14" borderId="2" applyAlignment="1" pivotButton="0" quotePrefix="0" xfId="0">
      <alignment horizontal="center" vertical="center" wrapText="1"/>
    </xf>
    <xf numFmtId="164" fontId="6" fillId="14" borderId="3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170" fontId="6" fillId="20" borderId="31" applyAlignment="1" pivotButton="0" quotePrefix="0" xfId="0">
      <alignment horizontal="center" vertical="center"/>
    </xf>
    <xf numFmtId="170" fontId="6" fillId="20" borderId="1" applyAlignment="1" pivotButton="0" quotePrefix="0" xfId="0">
      <alignment horizontal="center" vertical="center"/>
    </xf>
    <xf numFmtId="0" fontId="34" fillId="17" borderId="2" applyAlignment="1" pivotButton="0" quotePrefix="0" xfId="0">
      <alignment horizontal="center" vertical="center"/>
    </xf>
    <xf numFmtId="0" fontId="34" fillId="17" borderId="1" applyAlignment="1" pivotButton="0" quotePrefix="0" xfId="0">
      <alignment horizontal="center" vertical="center"/>
    </xf>
    <xf numFmtId="49" fontId="6" fillId="14" borderId="2" applyAlignment="1" pivotButton="0" quotePrefix="0" xfId="0">
      <alignment horizontal="center" vertical="center"/>
    </xf>
    <xf numFmtId="49" fontId="6" fillId="14" borderId="31" applyAlignment="1" pivotButton="0" quotePrefix="0" xfId="0">
      <alignment horizontal="center" vertical="center"/>
    </xf>
    <xf numFmtId="49" fontId="6" fillId="14" borderId="1" applyAlignment="1" pivotButton="0" quotePrefix="0" xfId="0">
      <alignment horizontal="center" vertical="center"/>
    </xf>
    <xf numFmtId="4" fontId="6" fillId="14" borderId="31" applyAlignment="1" pivotButton="0" quotePrefix="0" xfId="0">
      <alignment horizontal="center" vertical="center"/>
    </xf>
    <xf numFmtId="4" fontId="6" fillId="14" borderId="1" applyAlignment="1" pivotButton="0" quotePrefix="0" xfId="0">
      <alignment horizontal="center" vertical="center"/>
    </xf>
    <xf numFmtId="164" fontId="6" fillId="14" borderId="2" applyAlignment="1" pivotButton="0" quotePrefix="0" xfId="0">
      <alignment horizontal="center" vertical="center"/>
    </xf>
    <xf numFmtId="0" fontId="13" fillId="13" borderId="4" applyAlignment="1" pivotButton="0" quotePrefix="0" xfId="0">
      <alignment horizontal="left"/>
    </xf>
    <xf numFmtId="0" fontId="13" fillId="13" borderId="5" applyAlignment="1" pivotButton="0" quotePrefix="0" xfId="0">
      <alignment horizontal="left"/>
    </xf>
    <xf numFmtId="0" fontId="13" fillId="13" borderId="6" applyAlignment="1" pivotButton="0" quotePrefix="0" xfId="0">
      <alignment horizontal="left"/>
    </xf>
    <xf numFmtId="0" fontId="13" fillId="13" borderId="7" applyAlignment="1" pivotButton="0" quotePrefix="0" xfId="0">
      <alignment horizontal="left"/>
    </xf>
    <xf numFmtId="0" fontId="13" fillId="13" borderId="8" applyAlignment="1" pivotButton="0" quotePrefix="0" xfId="0">
      <alignment horizontal="left"/>
    </xf>
    <xf numFmtId="0" fontId="13" fillId="13" borderId="9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8" fillId="2" borderId="1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3" fillId="8" borderId="22" applyAlignment="1" pivotButton="0" quotePrefix="0" xfId="0">
      <alignment horizontal="left" vertical="center"/>
    </xf>
    <xf numFmtId="0" fontId="3" fillId="8" borderId="23" applyAlignment="1" pivotButton="0" quotePrefix="0" xfId="0">
      <alignment horizontal="left" vertical="center"/>
    </xf>
    <xf numFmtId="0" fontId="3" fillId="8" borderId="24" applyAlignment="1" pivotButton="0" quotePrefix="0" xfId="0">
      <alignment horizontal="left" vertical="center"/>
    </xf>
    <xf numFmtId="0" fontId="3" fillId="8" borderId="25" applyAlignment="1" pivotButton="0" quotePrefix="0" xfId="0">
      <alignment horizontal="left" vertical="center"/>
    </xf>
    <xf numFmtId="0" fontId="13" fillId="3" borderId="2" applyAlignment="1" pivotButton="0" quotePrefix="0" xfId="0">
      <alignment horizontal="left"/>
    </xf>
    <xf numFmtId="0" fontId="13" fillId="3" borderId="1" applyAlignment="1" pivotButton="0" quotePrefix="0" xfId="0">
      <alignment horizontal="left"/>
    </xf>
    <xf numFmtId="0" fontId="8" fillId="2" borderId="4" pivotButton="0" quotePrefix="0" xfId="0"/>
    <xf numFmtId="0" fontId="11" fillId="0" borderId="6" pivotButton="0" quotePrefix="0" xfId="0"/>
    <xf numFmtId="164" fontId="3" fillId="1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5" fillId="17" borderId="27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36" fillId="17" borderId="29" applyAlignment="1" pivotButton="0" quotePrefix="0" xfId="0">
      <alignment horizontal="center" vertical="top"/>
    </xf>
    <xf numFmtId="0" fontId="0" fillId="0" borderId="17" pivotButton="0" quotePrefix="0" xfId="0"/>
    <xf numFmtId="164" fontId="6" fillId="14" borderId="3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" pivotButton="0" quotePrefix="0" xfId="0"/>
    <xf numFmtId="167" fontId="6" fillId="20" borderId="2" applyAlignment="1" pivotButton="0" quotePrefix="0" xfId="0">
      <alignment horizontal="right" vertical="center"/>
    </xf>
    <xf numFmtId="170" fontId="6" fillId="20" borderId="1" applyAlignment="1" pivotButton="0" quotePrefix="0" xfId="0">
      <alignment horizontal="center" vertical="center"/>
    </xf>
    <xf numFmtId="0" fontId="34" fillId="17" borderId="3" applyAlignment="1" pivotButton="0" quotePrefix="0" xfId="0">
      <alignment horizontal="center" vertical="center"/>
    </xf>
    <xf numFmtId="49" fontId="6" fillId="14" borderId="3" applyAlignment="1" pivotButton="0" quotePrefix="0" xfId="0">
      <alignment horizontal="center" vertical="center"/>
    </xf>
    <xf numFmtId="0" fontId="29" fillId="17" borderId="3" applyAlignment="1" pivotButton="0" quotePrefix="0" xfId="0">
      <alignment horizontal="left" vertical="center" indent="1"/>
    </xf>
    <xf numFmtId="167" fontId="6" fillId="14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10" fontId="6" fillId="14" borderId="3" applyAlignment="1" pivotButton="0" quotePrefix="0" xfId="1">
      <alignment horizontal="center" vertical="center"/>
    </xf>
    <xf numFmtId="167" fontId="49" fillId="19" borderId="2" applyAlignment="1" pivotButton="0" quotePrefix="0" xfId="0">
      <alignment horizontal="right" vertical="center"/>
    </xf>
    <xf numFmtId="10" fontId="49" fillId="19" borderId="3" applyAlignment="1" pivotButton="0" quotePrefix="0" xfId="1">
      <alignment horizontal="center" vertical="center"/>
    </xf>
    <xf numFmtId="0" fontId="6" fillId="14" borderId="3" applyAlignment="1" pivotButton="0" quotePrefix="0" xfId="0">
      <alignment horizontal="center" vertical="center"/>
    </xf>
    <xf numFmtId="170" fontId="6" fillId="14" borderId="3" applyAlignment="1" pivotButton="0" quotePrefix="0" xfId="1">
      <alignment horizontal="center" vertical="center"/>
    </xf>
    <xf numFmtId="166" fontId="6" fillId="14" borderId="3" applyAlignment="1" pivotButton="0" quotePrefix="0" xfId="1">
      <alignment horizontal="center" vertical="center"/>
    </xf>
    <xf numFmtId="0" fontId="6" fillId="20" borderId="3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166" fontId="31" fillId="16" borderId="19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164" fontId="6" fillId="14" borderId="3" applyAlignment="1" pivotButton="0" quotePrefix="0" xfId="0">
      <alignment horizontal="center" vertical="center"/>
    </xf>
    <xf numFmtId="166" fontId="31" fillId="16" borderId="18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166" fontId="31" fillId="16" borderId="14" applyAlignment="1" pivotButton="0" quotePrefix="0" xfId="0">
      <alignment horizontal="left" vertical="center"/>
    </xf>
    <xf numFmtId="0" fontId="8" fillId="2" borderId="3" applyAlignment="1" pivotButton="0" quotePrefix="0" xfId="0">
      <alignment horizontal="left"/>
    </xf>
    <xf numFmtId="0" fontId="8" fillId="2" borderId="10" pivotButton="0" quotePrefix="0" xfId="0"/>
    <xf numFmtId="0" fontId="0" fillId="0" borderId="6" pivotButton="0" quotePrefix="0" xfId="0"/>
    <xf numFmtId="0" fontId="13" fillId="3" borderId="3" applyAlignment="1" pivotButton="0" quotePrefix="0" xfId="0">
      <alignment horizontal="left"/>
    </xf>
    <xf numFmtId="0" fontId="0" fillId="0" borderId="34" pivotButton="0" quotePrefix="0" xfId="0"/>
    <xf numFmtId="0" fontId="0" fillId="0" borderId="35" pivotButton="0" quotePrefix="0" xfId="0"/>
    <xf numFmtId="164" fontId="3" fillId="10" borderId="36" applyAlignment="1" pivotButton="0" quotePrefix="0" xfId="0">
      <alignment horizontal="center" vertical="center"/>
    </xf>
    <xf numFmtId="0" fontId="0" fillId="0" borderId="11" pivotButton="0" quotePrefix="0" xfId="0"/>
    <xf numFmtId="0" fontId="13" fillId="13" borderId="10" applyAlignment="1" pivotButton="0" quotePrefix="0" xfId="0">
      <alignment horizontal="left"/>
    </xf>
    <xf numFmtId="0" fontId="0" fillId="0" borderId="5" pivotButton="0" quotePrefix="0" xfId="0"/>
    <xf numFmtId="0" fontId="13" fillId="13" borderId="26" applyAlignment="1" pivotButton="0" quotePrefix="0" xfId="0">
      <alignment horizontal="left"/>
    </xf>
    <xf numFmtId="0" fontId="0" fillId="0" borderId="8" pivotButton="0" quotePrefix="0" xfId="0"/>
    <xf numFmtId="0" fontId="0" fillId="0" borderId="9" pivotButton="0" quotePrefix="0" xfId="0"/>
  </cellXfs>
  <cellStyles count="9">
    <cellStyle name="Normal" xfId="0" builtinId="0"/>
    <cellStyle name="Percent" xfId="1" builtinId="5"/>
    <cellStyle name="Hyperlink" xfId="2" builtinId="8" hidden="1"/>
    <cellStyle name="Followed Hyperlink" xfId="3" builtinId="9" hidden="1"/>
    <cellStyle name="Normal 2" xfId="4"/>
    <cellStyle name="Percent 2" xfId="5"/>
    <cellStyle name="Normal 3" xfId="6"/>
    <cellStyle name="Percent 3" xfId="7"/>
    <cellStyle name="Currency 2" xf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20 years)</a:t>
            </a:r>
          </a:p>
        </rich>
      </tx>
      <layout>
        <manualLayout>
          <xMode val="edge"/>
          <yMode val="edge"/>
          <wMode val="factor"/>
          <hMode val="factor"/>
          <x val="0.3596940979722675"/>
          <y val="0.0410255776851423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3"/>
          <w val="0.8507658359859778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('VMI (20y)'!$F$29:$O$29,'VMI (20y)'!$F$34:$O$34)</f>
              <numCache>
                <formatCode>"$"#,##0.00</formatCode>
                <ptCount val="20"/>
                <pt idx="0">
                  <v>73905.622</v>
                </pt>
                <pt idx="1">
                  <v>96594.647954</v>
                </pt>
                <pt idx="2">
                  <v>126249.204875878</v>
                </pt>
                <pt idx="3">
                  <v>165007.7107727726</v>
                </pt>
                <pt idx="4">
                  <v>215665.0779800137</v>
                </pt>
                <pt idx="5">
                  <v>248014.8396770158</v>
                </pt>
                <pt idx="6">
                  <v>285217.0656285681</v>
                </pt>
                <pt idx="7">
                  <v>327999.6254728533</v>
                </pt>
                <pt idx="8">
                  <v>377199.5692937813</v>
                </pt>
                <pt idx="9">
                  <v>433779.5046878484</v>
                </pt>
                <pt idx="10">
                  <v>451911.4879838005</v>
                </pt>
                <pt idx="11">
                  <v>470801.3881815234</v>
                </pt>
                <pt idx="12">
                  <v>490480.8862075111</v>
                </pt>
                <pt idx="13">
                  <v>510982.9872509851</v>
                </pt>
                <pt idx="14">
                  <v>532342.0761180763</v>
                </pt>
                <pt idx="15">
                  <v>554593.9748998119</v>
                </pt>
                <pt idx="16">
                  <v>577776.003050624</v>
                </pt>
                <pt idx="17">
                  <v>601927.0399781402</v>
                </pt>
                <pt idx="18">
                  <v>627087.5902492264</v>
                </pt>
                <pt idx="19">
                  <v>653299.8515216442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('VMI (20y)'!$F$31:$O$31,'VMI (20y)'!$F$36:$O$36)</f>
              <numCache>
                <formatCode>"$"#,##0.00</formatCode>
                <ptCount val="20"/>
                <pt idx="0">
                  <v>69525.51458137349</v>
                </pt>
                <pt idx="1">
                  <v>85484.33448528235</v>
                </pt>
                <pt idx="2">
                  <v>105106.3265966736</v>
                </pt>
                <pt idx="3">
                  <v>129232.3319490615</v>
                </pt>
                <pt idx="4">
                  <v>158896.1974199656</v>
                </pt>
                <pt idx="5">
                  <v>171900.872091214</v>
                </pt>
                <pt idx="6">
                  <v>185969.8992520189</v>
                </pt>
                <pt idx="7">
                  <v>201190.3895953168</v>
                </pt>
                <pt idx="8">
                  <v>217656.5832875016</v>
                </pt>
                <pt idx="9">
                  <v>235470.4334718974</v>
                </pt>
                <pt idx="10">
                  <v>230774.3157018087</v>
                </pt>
                <pt idx="11">
                  <v>226171.8552193268</v>
                </pt>
                <pt idx="12">
                  <v>221661.1841650938</v>
                </pt>
                <pt idx="13">
                  <v>217240.4719315096</v>
                </pt>
                <pt idx="14">
                  <v>212907.9244197994</v>
                </pt>
                <pt idx="15">
                  <v>208661.7833118975</v>
                </pt>
                <pt idx="16">
                  <v>204500.325356853</v>
                </pt>
                <pt idx="17">
                  <v>200421.8616714671</v>
                </pt>
                <pt idx="18">
                  <v>196424.7370548772</v>
                </pt>
                <pt idx="19">
                  <v>192507.3293168119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7649792"/>
        <axId val="97665024"/>
      </lineChart>
      <catAx>
        <axId val="9764979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>
                    <a:solidFill>
                      <a:schemeClr val="bg1"/>
                    </a:solidFill>
                  </a:rPr>
                  <a:t>Year</a:t>
                </a:r>
                <a:endParaRPr lang="en-US" b="1" i="0">
                  <a:solidFill>
                    <a:schemeClr val="bg1"/>
                  </a:solidFill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5178575244466116"/>
              <y val="0.861541248520407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65024"/>
        <crosses val="autoZero"/>
        <auto val="1"/>
        <lblAlgn val="ctr"/>
        <lblOffset val="100"/>
        <tickLblSkip val="1"/>
        <tickMarkSkip val="1"/>
        <noMultiLvlLbl val="0"/>
      </catAx>
      <valAx>
        <axId val="97665024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42346642510394"/>
              <y val="0.3743601461582015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4979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3080305093911798"/>
          <y val="0.852398396243635"/>
          <w val="0.1847781433335871"/>
          <h val="0.1283907480314963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10 years)</a:t>
            </a:r>
          </a:p>
        </rich>
      </tx>
      <layout>
        <manualLayout>
          <xMode val="edge"/>
          <yMode val="edge"/>
          <wMode val="factor"/>
          <hMode val="factor"/>
          <x val="0.3984133926669442"/>
          <y val="0.02540067257217848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2"/>
          <w val="0.8507658359859775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'VMI (10y)'!$F$29:$O$29</f>
              <numCache>
                <formatCode>"$"#,##0.00</formatCode>
                <ptCount val="10"/>
                <pt idx="0">
                  <v>36478.35000000001</v>
                </pt>
                <pt idx="1">
                  <v>49245.77250000001</v>
                </pt>
                <pt idx="2">
                  <v>66481.79287500003</v>
                </pt>
                <pt idx="3">
                  <v>89750.42038125005</v>
                </pt>
                <pt idx="4">
                  <v>121163.0675146876</v>
                </pt>
                <pt idx="5">
                  <v>130250.2975782891</v>
                </pt>
                <pt idx="6">
                  <v>140019.0698966608</v>
                </pt>
                <pt idx="7">
                  <v>150520.5001389104</v>
                </pt>
                <pt idx="8">
                  <v>161809.5376493286</v>
                </pt>
                <pt idx="9">
                  <v>173945.2529730283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'VMI (10y)'!$F$31:$O$31</f>
              <numCache>
                <formatCode>"$"#,##0.00</formatCode>
                <ptCount val="10"/>
                <pt idx="0">
                  <v>33589.6408839779</v>
                </pt>
                <pt idx="1">
                  <v>41755.07844693386</v>
                </pt>
                <pt idx="2">
                  <v>51905.48425723823</v>
                </pt>
                <pt idx="3">
                  <v>64523.39203247847</v>
                </pt>
                <pt idx="4">
                  <v>80208.63650446219</v>
                </pt>
                <pt idx="5">
                  <v>79396.21016786082</v>
                </pt>
                <pt idx="6">
                  <v>78592.01282730236</v>
                </pt>
                <pt idx="7">
                  <v>77795.96113199818</v>
                </pt>
                <pt idx="8">
                  <v>77007.97257541257</v>
                </pt>
                <pt idx="9">
                  <v>76227.96548671133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73472"/>
        <axId val="98480128"/>
      </lineChart>
      <catAx>
        <axId val="9847347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900590404605976"/>
              <y val="0.8712383679312813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80128"/>
        <crosses val="autoZero"/>
        <auto val="1"/>
        <lblAlgn val="ctr"/>
        <lblOffset val="100"/>
        <tickLblSkip val="1"/>
        <tickMarkSkip val="1"/>
        <noMultiLvlLbl val="0"/>
      </catAx>
      <valAx>
        <axId val="98480128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125628562997012"/>
              <y val="0.403451204963016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0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7347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2745876675805014"/>
          <y val="0.8568155712505324"/>
          <w val="0.18359738656442"/>
          <h val="0.125307533457672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(8287000000.0) did NOT exceed 1.5x Net Income (6704000000.0)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 Or
1/2 of Yr5</t>
      </text>
    </comment>
    <comment ref="F20" authorId="1" shapeId="0">
      <text>
        <t>Rule: min(15%, half of Yr 1-5 growth rate).</t>
      </text>
    </comment>
    <comment ref="C22" authorId="0" shapeId="0">
      <text>
        <t>Long Term GDP Growth Rate + 1%
US Stocks: 4.18%
China Stocks: 7%</t>
      </text>
    </comment>
    <comment ref="F22" authorId="1" shapeId="0">
      <text>
        <t>Long-term GDP growth + 1% (United States).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beta=0.868</t>
      </text>
    </comment>
  </commentList>
</comments>
</file>

<file path=xl/comments/comment2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(8287000000.0) did NOT exceed 1.5x Net Income (6704000000.0)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</t>
      </text>
    </comment>
    <comment ref="F20" authorId="1" shapeId="0">
      <text>
        <t>Rule: min(15%, half of Yr 1-5 growth rate).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beta=0.868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857249</colOff>
      <row>37</row>
      <rowOff>28575</rowOff>
    </from>
    <to>
      <col>15</col>
      <colOff>41640</colOff>
      <row>53</row>
      <rowOff>60489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90</row>
      <rowOff>32445</rowOff>
    </from>
    <to>
      <col>15</col>
      <colOff>257175</colOff>
      <row>92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776418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866775</colOff>
      <row>32</row>
      <rowOff>28574</rowOff>
    </from>
    <to>
      <col>15</col>
      <colOff>47625</colOff>
      <row>48</row>
      <rowOff>47624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85</row>
      <rowOff>32445</rowOff>
    </from>
    <to>
      <col>15</col>
      <colOff>257175</colOff>
      <row>87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676596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2.xm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tabSelected="1" topLeftCell="D1" zoomScaleNormal="100" zoomScaleSheetLayoutView="394" workbookViewId="0">
      <selection activeCell="N18" sqref="N18:O18"/>
    </sheetView>
  </sheetViews>
  <sheetFormatPr baseColWidth="8" defaultColWidth="8.625" defaultRowHeight="12.75"/>
  <cols>
    <col width="1.125" customWidth="1" style="178" min="1" max="1"/>
    <col width="11.5" customWidth="1" style="178" min="2" max="2"/>
    <col width="12.625" customWidth="1" style="178" min="3" max="8"/>
    <col width="15.625" customWidth="1" style="178" min="9" max="9"/>
    <col width="12.625" customWidth="1" style="178" min="10" max="15"/>
    <col width="3.625" customWidth="1" style="178" min="16" max="16"/>
    <col width="9.625" customWidth="1" style="178" min="17" max="17"/>
    <col width="8.625" customWidth="1" style="178" min="18" max="19"/>
    <col width="9.125" customWidth="1" style="178" min="20" max="20"/>
    <col width="3.125" customWidth="1" style="178" min="21" max="21"/>
    <col width="1.875" customWidth="1" style="178" min="22" max="22"/>
    <col width="8.625" customWidth="1" style="178" min="23" max="28"/>
    <col hidden="1" style="178" min="29" max="29"/>
    <col hidden="1" width="27.5" customWidth="1" style="178" min="30" max="30"/>
    <col hidden="1" width="10.75" customWidth="1" style="178" min="31" max="31"/>
    <col hidden="1" width="29.75" customWidth="1" style="178" min="32" max="32"/>
    <col hidden="1" width="30.875" customWidth="1" style="178" min="33" max="33"/>
    <col hidden="1" width="29" customWidth="1" style="178" min="34" max="34"/>
    <col hidden="1" width="27.75" customWidth="1" style="178" min="35" max="35"/>
    <col hidden="1" width="31.875" customWidth="1" style="178" min="36" max="36"/>
    <col hidden="1" style="178" min="37" max="37"/>
    <col width="8.625" customWidth="1" style="178" min="38" max="16384"/>
  </cols>
  <sheetData>
    <row r="1" ht="7.5" customHeight="1" thickBot="1">
      <c r="A1" s="112" t="n"/>
      <c r="B1" s="112" t="n"/>
      <c r="C1" s="58" t="n"/>
      <c r="D1" s="58" t="n"/>
      <c r="E1" s="58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12" t="n"/>
      <c r="U1" s="112" t="n"/>
      <c r="V1" s="112" t="n"/>
    </row>
    <row r="2" ht="41.25" customHeight="1">
      <c r="A2" s="112" t="n"/>
      <c r="B2" s="284">
        <f>"Intrinsic Value Calculator ("&amp;VLOOKUP(C12,AD6:AJ8,6,FALSE)&amp;" 20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112" t="n"/>
    </row>
    <row r="3" ht="41.25" customHeight="1">
      <c r="A3" s="112" t="n"/>
      <c r="B3" s="287" t="inlineStr">
        <is>
          <t>(Be consistent with the denominations used. Usually Millions $)</t>
        </is>
      </c>
      <c r="U3" s="288" t="n"/>
      <c r="V3" s="112" t="n"/>
    </row>
    <row r="4" ht="5.25" customHeight="1" thickBot="1">
      <c r="A4" s="112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112" t="n"/>
    </row>
    <row r="5" ht="11.25" customHeight="1">
      <c r="A5" s="112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112" t="n"/>
    </row>
    <row r="6" ht="30.95" customHeight="1">
      <c r="A6" s="112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112" t="n"/>
      <c r="AD6" s="178" t="inlineStr">
        <is>
          <t>Operating Cash Flow (Current)</t>
        </is>
      </c>
      <c r="AE6" s="178" t="inlineStr">
        <is>
          <t>Cash Flow</t>
        </is>
      </c>
      <c r="AF6" s="178" t="inlineStr">
        <is>
          <t>Cash Flow Growth Rate (Yr 1 - 5)</t>
        </is>
      </c>
      <c r="AG6" s="178" t="inlineStr">
        <is>
          <t>Cash Flow Growth Rate (Yr 6 - 10)</t>
        </is>
      </c>
      <c r="AH6" s="178" t="inlineStr">
        <is>
          <t>Operating Cash Flow (Projected)</t>
        </is>
      </c>
      <c r="AI6" s="178" t="inlineStr">
        <is>
          <t>Discounted Cash Flow Method</t>
        </is>
      </c>
      <c r="AJ6" s="178" t="inlineStr">
        <is>
          <t>Cash Flow Growth Rate (Yr 11 - 20)</t>
        </is>
      </c>
    </row>
    <row r="7" ht="8.1" customHeight="1">
      <c r="A7" s="112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112" t="n"/>
      <c r="AD7" s="178" t="inlineStr">
        <is>
          <t>Net Income (Current)</t>
        </is>
      </c>
      <c r="AE7" s="178" t="inlineStr">
        <is>
          <t>Net Income</t>
        </is>
      </c>
      <c r="AF7" s="178" t="inlineStr">
        <is>
          <t>Net Income Growth Rate (Yr 1 - 5)</t>
        </is>
      </c>
      <c r="AG7" s="178" t="inlineStr">
        <is>
          <t>Net Income Growth Rate (Yr 6 - 10)</t>
        </is>
      </c>
      <c r="AH7" s="178" t="inlineStr">
        <is>
          <t>Net Income (Projected)</t>
        </is>
      </c>
      <c r="AI7" s="178" t="inlineStr">
        <is>
          <t>Discounted Net Income Method</t>
        </is>
      </c>
      <c r="AJ7" s="178" t="inlineStr">
        <is>
          <t>Net Income Growth Rate (Yr 11 - 20)</t>
        </is>
      </c>
    </row>
    <row r="8" ht="24.95" customHeight="1">
      <c r="A8" s="112" t="n"/>
      <c r="B8" s="60" t="n"/>
      <c r="C8" s="238" t="inlineStr">
        <is>
          <t>Name of Stock</t>
        </is>
      </c>
      <c r="D8" s="231" t="n"/>
      <c r="E8" s="239" t="n"/>
      <c r="F8" s="289" t="inlineStr">
        <is>
          <t>Thermo Fisher Scientific Inc.</t>
        </is>
      </c>
      <c r="G8" s="290" t="n"/>
      <c r="H8" s="291" t="n"/>
      <c r="I8" s="71" t="n"/>
      <c r="J8" s="95">
        <f>"PV of 20 yr "&amp;VLOOKUP(C12,AD6:AJ8,2,FALSE)</f>
        <v/>
      </c>
      <c r="K8" s="83" t="n"/>
      <c r="L8" s="83" t="n"/>
      <c r="M8" s="292">
        <f>$S$8</f>
        <v/>
      </c>
      <c r="N8" s="293">
        <f>SUM(F31:P31)+SUM(F36:O36)</f>
        <v/>
      </c>
      <c r="O8" s="291" t="n"/>
      <c r="P8" s="69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112" t="n"/>
      <c r="AD8" s="178" t="inlineStr">
        <is>
          <t>Free Cash Flow (Current)</t>
        </is>
      </c>
      <c r="AE8" s="178" t="inlineStr">
        <is>
          <t>Free Cash Flow</t>
        </is>
      </c>
      <c r="AF8" s="178" t="inlineStr">
        <is>
          <t>Free Cash Flow Growth Rate (Yr 1 - 5)</t>
        </is>
      </c>
      <c r="AG8" s="178" t="inlineStr">
        <is>
          <t>Free Cash Flow growth rate (Yr 6 - 10)</t>
        </is>
      </c>
      <c r="AH8" s="178" t="inlineStr">
        <is>
          <t>Free Cash Flow (Projected)</t>
        </is>
      </c>
      <c r="AI8" s="178" t="inlineStr">
        <is>
          <t>Discounted Free Cash Flow Method</t>
        </is>
      </c>
      <c r="AJ8" s="178" t="inlineStr">
        <is>
          <t>Free Cash Flow Growth Rate (Yr 11 - 20)</t>
        </is>
      </c>
    </row>
    <row r="9" ht="3.95" customHeight="1">
      <c r="A9" s="112" t="n"/>
      <c r="B9" s="60" t="n"/>
      <c r="C9" s="160" t="n"/>
      <c r="D9" s="160" t="n"/>
      <c r="E9" s="160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9" t="n"/>
      <c r="Q9" s="188" t="n"/>
      <c r="R9" s="188" t="n"/>
      <c r="S9" s="188" t="n"/>
      <c r="T9" s="61" t="n"/>
      <c r="U9" s="65" t="n"/>
      <c r="V9" s="112" t="n"/>
    </row>
    <row r="10" ht="24.95" customHeight="1">
      <c r="A10" s="112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TMO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9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112" t="n"/>
    </row>
    <row r="11" ht="3.95" customHeight="1">
      <c r="A11" s="112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112" t="n"/>
    </row>
    <row r="12" ht="24.95" customHeight="1">
      <c r="A12" s="112" t="n"/>
      <c r="B12" s="74" t="inlineStr">
        <is>
          <t>Yahoo</t>
        </is>
      </c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6704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112" t="n"/>
    </row>
    <row r="13" ht="3.95" customHeight="1">
      <c r="A13" s="112" t="n"/>
      <c r="B13" s="60" t="n"/>
      <c r="C13" s="161" t="n"/>
      <c r="D13" s="161" t="n"/>
      <c r="E13" s="161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112" t="n"/>
    </row>
    <row r="14" ht="24.95" customHeight="1">
      <c r="A14" s="112" t="n"/>
      <c r="B14" s="74" t="inlineStr">
        <is>
          <t>Yahoo</t>
        </is>
      </c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43161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112" t="n"/>
    </row>
    <row r="15" ht="3.95" customHeight="1">
      <c r="A15" s="112" t="n"/>
      <c r="B15" s="60" t="n"/>
      <c r="C15" s="161" t="n"/>
      <c r="D15" s="161" t="n"/>
      <c r="E15" s="161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112" t="n"/>
    </row>
    <row r="16" ht="24.95" customHeight="1">
      <c r="A16" s="112" t="n"/>
      <c r="B16" s="74" t="inlineStr">
        <is>
          <t>Yahoo</t>
        </is>
      </c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3256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112" t="n"/>
    </row>
    <row r="17" ht="3.95" customHeight="1">
      <c r="A17" s="112" t="n"/>
      <c r="B17" s="60" t="n"/>
      <c r="C17" s="161" t="n"/>
      <c r="D17" s="161" t="n"/>
      <c r="E17" s="161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112" t="n"/>
    </row>
    <row r="18" ht="24.95" customHeight="1">
      <c r="A18" s="112" t="n"/>
      <c r="B18" s="214" t="inlineStr">
        <is>
          <t>Finviz, Simply</t>
        </is>
      </c>
      <c r="C18" s="238">
        <f>VLOOKUP(C12,AD6:AJ8,3,FALSE)</f>
        <v/>
      </c>
      <c r="D18" s="231" t="n"/>
      <c r="E18" s="239" t="n"/>
      <c r="F18" s="300" t="n">
        <v>0.002075477652143887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112" t="n"/>
    </row>
    <row r="19" ht="3.95" customHeight="1">
      <c r="A19" s="112" t="n"/>
      <c r="B19" s="60" t="n"/>
      <c r="C19" s="161" t="n"/>
      <c r="D19" s="161" t="n"/>
      <c r="E19" s="161" t="n"/>
      <c r="F19" s="76" t="n"/>
      <c r="G19" s="76" t="n"/>
      <c r="H19" s="75" t="n"/>
      <c r="I19" s="72" t="n"/>
      <c r="J19" s="190" t="n"/>
      <c r="K19" s="190" t="n"/>
      <c r="L19" s="190" t="n"/>
      <c r="M19" s="190" t="n"/>
      <c r="N19" s="190" t="n"/>
      <c r="O19" s="190" t="n"/>
      <c r="P19" s="61" t="n"/>
      <c r="Q19" s="61" t="n"/>
      <c r="R19" s="61" t="n"/>
      <c r="S19" s="61" t="n"/>
      <c r="T19" s="61" t="n"/>
      <c r="U19" s="65" t="n"/>
      <c r="V19" s="112" t="n"/>
    </row>
    <row r="20" ht="24.95" customHeight="1">
      <c r="A20" s="112" t="n"/>
      <c r="B20" s="214" t="inlineStr">
        <is>
          <t>Yahoo</t>
        </is>
      </c>
      <c r="C20" s="238">
        <f>VLOOKUP(C12,AD6:AJ8,4,FALSE)</f>
        <v/>
      </c>
      <c r="D20" s="231" t="n"/>
      <c r="E20" s="239" t="n"/>
      <c r="F20" s="300" t="n">
        <v>0.001037738826071943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112" t="n"/>
    </row>
    <row r="21" ht="3.95" customHeight="1">
      <c r="A21" s="112" t="n"/>
      <c r="B21" s="60" t="n"/>
      <c r="C21" s="162" t="n"/>
      <c r="D21" s="162" t="n"/>
      <c r="E21" s="162" t="n"/>
      <c r="F21" s="75" t="n"/>
      <c r="G21" s="75" t="n"/>
      <c r="H21" s="75" t="n"/>
      <c r="I21" s="61" t="n"/>
      <c r="J21" s="190" t="n"/>
      <c r="K21" s="190" t="n"/>
      <c r="L21" s="190" t="n"/>
      <c r="M21" s="190" t="n"/>
      <c r="N21" s="190" t="n"/>
      <c r="O21" s="190" t="n"/>
      <c r="P21" s="61" t="n"/>
      <c r="Q21" s="61" t="n"/>
      <c r="R21" s="61" t="n"/>
      <c r="S21" s="61" t="n"/>
      <c r="T21" s="61" t="n"/>
      <c r="U21" s="65" t="n"/>
      <c r="V21" s="112" t="n"/>
    </row>
    <row r="22" ht="24.95" customHeight="1">
      <c r="A22" s="112" t="n"/>
      <c r="B22" s="214" t="inlineStr">
        <is>
          <t>Yahoo</t>
        </is>
      </c>
      <c r="C22" s="238">
        <f>VLOOKUP(C12,AD6:AJ8,7,FALSE)</f>
        <v/>
      </c>
      <c r="D22" s="231" t="n"/>
      <c r="E22" s="239" t="n"/>
      <c r="F22" s="300" t="n">
        <v>0.0418</v>
      </c>
      <c r="G22" s="290" t="n"/>
      <c r="H22" s="291" t="n"/>
      <c r="I22" s="61" t="n"/>
      <c r="J22" s="238" t="inlineStr">
        <is>
          <t>Last Close</t>
        </is>
      </c>
      <c r="K22" s="97" t="n"/>
      <c r="L22" s="195">
        <f>$S$10</f>
        <v/>
      </c>
      <c r="M22" s="237" t="n">
        <v>529.7999877929688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112" t="n"/>
    </row>
    <row r="23" ht="3.75" customHeight="1">
      <c r="A23" s="112" t="n"/>
      <c r="B23" s="60" t="n"/>
      <c r="C23" s="163" t="n"/>
      <c r="D23" s="163" t="n"/>
      <c r="E23" s="163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112" t="n"/>
    </row>
    <row r="24" ht="24.95" customHeight="1">
      <c r="A24" s="112" t="n"/>
      <c r="B24" s="60" t="n"/>
      <c r="C24" s="163" t="n"/>
      <c r="D24" s="163" t="n"/>
      <c r="E24" s="163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112" t="n"/>
    </row>
    <row r="25" ht="3.95" customHeight="1">
      <c r="A25" s="112" t="n"/>
      <c r="B25" s="60" t="n"/>
      <c r="C25" s="163" t="n"/>
      <c r="D25" s="163" t="n"/>
      <c r="E25" s="163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112" t="n"/>
    </row>
    <row r="26" ht="24.95" customHeight="1">
      <c r="A26" s="112" t="n"/>
      <c r="B26" s="214" t="inlineStr">
        <is>
          <t>Finviz</t>
        </is>
      </c>
      <c r="C26" s="86" t="inlineStr">
        <is>
          <t>No. of Shares Outstanding</t>
        </is>
      </c>
      <c r="D26" s="164" t="n"/>
      <c r="E26" s="165" t="n"/>
      <c r="F26" s="304" t="n">
        <v>371.621465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0.0531504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112" t="n"/>
    </row>
    <row r="27" ht="8.1" customHeight="1">
      <c r="A27" s="112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112" t="n"/>
    </row>
    <row r="28" ht="18" customHeight="1">
      <c r="A28" s="112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112" t="n"/>
    </row>
    <row r="29" ht="18" customHeight="1">
      <c r="A29" s="112" t="n"/>
      <c r="B29" s="60" t="n"/>
      <c r="C29" s="306">
        <f>VLOOKUP(C12,AD6:AJ8,5,FALSE)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112" t="n"/>
    </row>
    <row r="30" ht="18" customHeight="1">
      <c r="A30" s="112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112" t="n"/>
    </row>
    <row r="31" ht="18" customHeight="1">
      <c r="A31" s="112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112" t="n"/>
    </row>
    <row r="32" ht="17.25" customHeight="1">
      <c r="A32" s="112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112" t="n"/>
    </row>
    <row r="33" ht="18" customHeight="1">
      <c r="A33" s="112" t="n"/>
      <c r="B33" s="60" t="n"/>
      <c r="C33" s="99" t="inlineStr">
        <is>
          <t>Year</t>
        </is>
      </c>
      <c r="D33" s="100" t="n"/>
      <c r="E33" s="101" t="n"/>
      <c r="F33" s="102">
        <f>$L$24+11</f>
        <v/>
      </c>
      <c r="G33" s="102">
        <f>$L$24+12</f>
        <v/>
      </c>
      <c r="H33" s="102">
        <f>$L$24+13</f>
        <v/>
      </c>
      <c r="I33" s="102">
        <f>$L$24+14</f>
        <v/>
      </c>
      <c r="J33" s="102">
        <f>$L$24+15</f>
        <v/>
      </c>
      <c r="K33" s="102">
        <f>$L$24+16</f>
        <v/>
      </c>
      <c r="L33" s="102">
        <f>$L$24+17</f>
        <v/>
      </c>
      <c r="M33" s="102">
        <f>$L$24+18</f>
        <v/>
      </c>
      <c r="N33" s="102">
        <f>$L$24+19</f>
        <v/>
      </c>
      <c r="O33" s="102">
        <f>$L$24+20</f>
        <v/>
      </c>
      <c r="P33" s="61" t="n"/>
      <c r="Q33" s="61" t="n"/>
      <c r="R33" s="61" t="n"/>
      <c r="S33" s="61" t="n"/>
      <c r="T33" s="61" t="n"/>
      <c r="U33" s="65" t="n"/>
      <c r="V33" s="112" t="n"/>
    </row>
    <row r="34" ht="18" customHeight="1">
      <c r="A34" s="112" t="n"/>
      <c r="B34" s="60" t="n"/>
      <c r="C34" s="306">
        <f>VLOOKUP(C12,AD6:AJ8,5,FALSE)</f>
        <v/>
      </c>
      <c r="D34" s="290" t="n"/>
      <c r="E34" s="291" t="n"/>
      <c r="F34" s="98">
        <f>(O$29)*(1+$F$22)</f>
        <v/>
      </c>
      <c r="G34" s="98">
        <f>(F$34)*(1+$F$22)</f>
        <v/>
      </c>
      <c r="H34" s="98">
        <f>(G$34)*(1+$F$22)</f>
        <v/>
      </c>
      <c r="I34" s="98">
        <f>(H$34)*(1+$F$22)</f>
        <v/>
      </c>
      <c r="J34" s="98">
        <f>(I$34)*(1+$F$22)</f>
        <v/>
      </c>
      <c r="K34" s="98">
        <f>(J$34)*(1+$F$22)</f>
        <v/>
      </c>
      <c r="L34" s="98">
        <f>(K$34)*(1+$F$22)</f>
        <v/>
      </c>
      <c r="M34" s="98">
        <f>(L$34)*(1+$F$22)</f>
        <v/>
      </c>
      <c r="N34" s="98">
        <f>(M$34)*(1+$F$22)</f>
        <v/>
      </c>
      <c r="O34" s="98">
        <f>(N$34)*(1+$F$22)</f>
        <v/>
      </c>
      <c r="P34" s="61" t="n"/>
      <c r="Q34" s="61" t="n"/>
      <c r="R34" s="61" t="n"/>
      <c r="S34" s="61" t="n"/>
      <c r="T34" s="61" t="n"/>
      <c r="U34" s="65" t="n"/>
      <c r="V34" s="112" t="n"/>
    </row>
    <row r="35" ht="18" customHeight="1">
      <c r="A35" s="112" t="n"/>
      <c r="B35" s="60" t="n"/>
      <c r="C35" s="103" t="inlineStr">
        <is>
          <t>Discount Factor</t>
        </is>
      </c>
      <c r="D35" s="104" t="n"/>
      <c r="E35" s="105" t="n"/>
      <c r="F35" s="78">
        <f>O$30/(1+$L$26)</f>
        <v/>
      </c>
      <c r="G35" s="78">
        <f>F$35/(1+$L$26)</f>
        <v/>
      </c>
      <c r="H35" s="78">
        <f>G$35/(1+$L$26)</f>
        <v/>
      </c>
      <c r="I35" s="78">
        <f>H$35/(1+$L$26)</f>
        <v/>
      </c>
      <c r="J35" s="78">
        <f>I$35/(1+$L$26)</f>
        <v/>
      </c>
      <c r="K35" s="78">
        <f>J$35/(1+$L$26)</f>
        <v/>
      </c>
      <c r="L35" s="78">
        <f>K$35/(1+$L$26)</f>
        <v/>
      </c>
      <c r="M35" s="78">
        <f>L$35/(1+$L$26)</f>
        <v/>
      </c>
      <c r="N35" s="78">
        <f>M$35/(1+$L$26)</f>
        <v/>
      </c>
      <c r="O35" s="78">
        <f>N$35/(1+$L$26)</f>
        <v/>
      </c>
      <c r="P35" s="61" t="n"/>
      <c r="Q35" s="61" t="n"/>
      <c r="R35" s="61" t="n"/>
      <c r="S35" s="61" t="n"/>
      <c r="T35" s="61" t="n"/>
      <c r="U35" s="65" t="n"/>
      <c r="V35" s="112" t="n"/>
    </row>
    <row r="36" ht="18" customHeight="1">
      <c r="A36" s="112" t="n"/>
      <c r="B36" s="60" t="n"/>
      <c r="C36" s="106" t="inlineStr">
        <is>
          <t>Discounted Value</t>
        </is>
      </c>
      <c r="D36" s="107" t="n"/>
      <c r="E36" s="108" t="n"/>
      <c r="F36" s="109">
        <f>F34*F35</f>
        <v/>
      </c>
      <c r="G36" s="109">
        <f>G34*G35</f>
        <v/>
      </c>
      <c r="H36" s="109">
        <f>H34*H35</f>
        <v/>
      </c>
      <c r="I36" s="109">
        <f>I34*I35</f>
        <v/>
      </c>
      <c r="J36" s="109">
        <f>J34*J35</f>
        <v/>
      </c>
      <c r="K36" s="109">
        <f>K34*K35</f>
        <v/>
      </c>
      <c r="L36" s="109">
        <f>L34*L35</f>
        <v/>
      </c>
      <c r="M36" s="109">
        <f>M34*M35</f>
        <v/>
      </c>
      <c r="N36" s="109">
        <f>N34*N35</f>
        <v/>
      </c>
      <c r="O36" s="109">
        <f>O34*O35</f>
        <v/>
      </c>
      <c r="P36" s="61" t="n"/>
      <c r="Q36" s="61" t="n"/>
      <c r="R36" s="61" t="n"/>
      <c r="S36" s="61" t="n"/>
      <c r="T36" s="61" t="n"/>
      <c r="U36" s="65" t="n"/>
      <c r="V36" s="112" t="n"/>
    </row>
    <row r="37">
      <c r="A37" s="112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112" t="n"/>
    </row>
    <row r="38">
      <c r="A38" s="112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112" t="n"/>
    </row>
    <row r="39">
      <c r="A39" s="112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112" t="n"/>
    </row>
    <row r="40">
      <c r="A40" s="112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112" t="n"/>
    </row>
    <row r="41">
      <c r="A41" s="112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112" t="n"/>
    </row>
    <row r="42">
      <c r="A42" s="112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112" t="n"/>
    </row>
    <row r="43">
      <c r="A43" s="112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112" t="n"/>
    </row>
    <row r="44">
      <c r="A44" s="112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112" t="n"/>
    </row>
    <row r="45">
      <c r="A45" s="112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112" t="n"/>
    </row>
    <row r="46">
      <c r="A46" s="112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112" t="n"/>
    </row>
    <row r="47">
      <c r="A47" s="112" t="n"/>
      <c r="B47" s="60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112" t="n"/>
    </row>
    <row r="48">
      <c r="A48" s="112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112" t="n"/>
    </row>
    <row r="49">
      <c r="A49" s="112" t="n"/>
      <c r="B49" s="60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5" t="n"/>
      <c r="V49" s="112" t="n"/>
    </row>
    <row r="50">
      <c r="A50" s="112" t="n"/>
      <c r="B50" s="60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61" t="n"/>
      <c r="U50" s="65" t="n"/>
      <c r="V50" s="112" t="n"/>
    </row>
    <row r="51">
      <c r="A51" s="112" t="n"/>
      <c r="B51" s="60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61" t="n"/>
      <c r="U51" s="65" t="n"/>
      <c r="V51" s="112" t="n"/>
    </row>
    <row r="52">
      <c r="A52" s="112" t="n"/>
      <c r="B52" s="60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61" t="n"/>
      <c r="U52" s="65" t="n"/>
      <c r="V52" s="112" t="n"/>
    </row>
    <row r="53">
      <c r="A53" s="112" t="n"/>
      <c r="B53" s="60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61" t="n"/>
      <c r="U53" s="65" t="n"/>
      <c r="V53" s="112" t="n"/>
    </row>
    <row r="54" ht="13.5" customHeight="1" thickBot="1">
      <c r="A54" s="112" t="n"/>
      <c r="B54" s="80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81" t="n"/>
      <c r="V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</row>
    <row r="56" ht="18" customHeight="1">
      <c r="A56" s="112" t="n"/>
      <c r="B56" s="114" t="n"/>
      <c r="C56" s="127" t="inlineStr">
        <is>
          <t>Discount Rate for US Stocks</t>
        </is>
      </c>
      <c r="D56" s="115" t="n"/>
      <c r="E56" s="115" t="n"/>
      <c r="F56" s="116" t="n"/>
      <c r="G56" s="116" t="n"/>
      <c r="H56" s="116" t="n"/>
      <c r="I56" s="114" t="n"/>
      <c r="J56" s="127" t="inlineStr">
        <is>
          <t>Discount Rate for China/HK Stocks</t>
        </is>
      </c>
      <c r="K56" s="116" t="n"/>
      <c r="L56" s="116" t="n"/>
      <c r="M56" s="116" t="n"/>
      <c r="N56" s="116" t="n"/>
      <c r="O56" s="57" t="n"/>
      <c r="P56" s="57" t="n"/>
      <c r="Q56" s="57" t="n"/>
      <c r="R56" s="57" t="n"/>
      <c r="S56" s="57" t="n"/>
      <c r="T56" s="57" t="n"/>
      <c r="U56" s="57" t="n"/>
      <c r="V56" s="112" t="n"/>
      <c r="AC56" s="187" t="n"/>
      <c r="AD56" s="187" t="n"/>
      <c r="AE56" s="187" t="n"/>
      <c r="AF56" s="187" t="n"/>
      <c r="AG56" s="187" t="n"/>
      <c r="AH56" s="187" t="n"/>
      <c r="AI56" s="187" t="n"/>
      <c r="AJ56" s="187" t="n"/>
      <c r="AK56" s="187" t="n"/>
    </row>
    <row r="57" ht="16.5" customHeight="1" thickBot="1">
      <c r="A57" s="112" t="n"/>
      <c r="B57" s="114" t="n"/>
      <c r="C57" s="117" t="n"/>
      <c r="D57" s="118" t="n"/>
      <c r="E57" s="119" t="n"/>
      <c r="F57" s="116" t="n"/>
      <c r="G57" s="116" t="n"/>
      <c r="H57" s="116" t="n"/>
      <c r="I57" s="114" t="n"/>
      <c r="J57" s="119" t="n"/>
      <c r="K57" s="119" t="n"/>
      <c r="L57" s="116" t="n"/>
      <c r="M57" s="116" t="n"/>
      <c r="N57" s="116" t="n"/>
      <c r="O57" s="57" t="n"/>
      <c r="P57" s="57" t="n"/>
      <c r="Q57" s="57" t="n"/>
      <c r="R57" s="57" t="n"/>
      <c r="S57" s="57" t="n"/>
      <c r="T57" s="57" t="n"/>
      <c r="U57" s="57" t="n"/>
      <c r="V57" s="112" t="n"/>
    </row>
    <row r="58" ht="25.5" customHeight="1" thickBot="1">
      <c r="A58" s="112" t="n"/>
      <c r="B58" s="114" t="n"/>
      <c r="C58" s="128" t="inlineStr">
        <is>
          <t>BETA</t>
        </is>
      </c>
      <c r="D58" s="129" t="n"/>
      <c r="E58" s="129" t="inlineStr">
        <is>
          <t>DISCOUNT RATE</t>
        </is>
      </c>
      <c r="F58" s="130" t="n"/>
      <c r="G58" s="124" t="n"/>
      <c r="H58" s="124" t="n"/>
      <c r="I58" s="123" t="n"/>
      <c r="J58" s="174" t="inlineStr">
        <is>
          <t>BETA</t>
        </is>
      </c>
      <c r="K58" s="172" t="n"/>
      <c r="L58" s="172" t="inlineStr">
        <is>
          <t>DISCOUNT RATE</t>
        </is>
      </c>
      <c r="M58" s="173" t="n"/>
      <c r="N58" s="116" t="n"/>
      <c r="O58" s="111" t="n"/>
      <c r="P58" s="111" t="n"/>
      <c r="Q58" s="111" t="n"/>
      <c r="R58" s="111" t="n"/>
      <c r="S58" s="111" t="n"/>
      <c r="T58" s="57" t="n"/>
      <c r="U58" s="57" t="n"/>
      <c r="V58" s="11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</row>
    <row r="59" ht="15" customFormat="1" customHeight="1" s="179">
      <c r="A59" s="51" t="n"/>
      <c r="B59" s="123" t="n"/>
      <c r="C59" s="175" t="inlineStr">
        <is>
          <t>Less than 0.80</t>
        </is>
      </c>
      <c r="D59" s="176" t="n"/>
      <c r="E59" s="307">
        <f>E69+0.8*E70</f>
        <v/>
      </c>
      <c r="F59" s="136" t="n"/>
      <c r="G59" s="124" t="n"/>
      <c r="H59" s="124" t="n"/>
      <c r="I59" s="123" t="n"/>
      <c r="J59" s="142" t="inlineStr">
        <is>
          <t>Less than 0.80</t>
        </is>
      </c>
      <c r="K59" s="143" t="n"/>
      <c r="L59" s="308">
        <f>L69+0.8*L70</f>
        <v/>
      </c>
      <c r="M59" s="133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1" t="n"/>
    </row>
    <row r="60" ht="15" customFormat="1" customHeight="1" s="179">
      <c r="A60" s="51" t="n"/>
      <c r="B60" s="123" t="n"/>
      <c r="C60" s="145" t="n">
        <v>1</v>
      </c>
      <c r="D60" s="146" t="n"/>
      <c r="E60" s="307">
        <f>E69+C60*E70</f>
        <v/>
      </c>
      <c r="F60" s="136" t="n"/>
      <c r="G60" s="124" t="n"/>
      <c r="H60" s="124" t="n"/>
      <c r="I60" s="123" t="n"/>
      <c r="J60" s="145" t="n">
        <v>1</v>
      </c>
      <c r="K60" s="146" t="n"/>
      <c r="L60" s="307">
        <f>L69+J60*L70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1" t="n"/>
    </row>
    <row r="61" ht="15" customFormat="1" customHeight="1" s="180">
      <c r="A61" s="52" t="n"/>
      <c r="B61" s="123" t="n"/>
      <c r="C61" s="145" t="n">
        <v>1.1</v>
      </c>
      <c r="D61" s="146" t="n"/>
      <c r="E61" s="307">
        <f>E69+C61*E70</f>
        <v/>
      </c>
      <c r="F61" s="136" t="n"/>
      <c r="G61" s="124" t="n"/>
      <c r="H61" s="124" t="n"/>
      <c r="I61" s="123" t="n"/>
      <c r="J61" s="145" t="n">
        <v>1.1</v>
      </c>
      <c r="K61" s="146" t="n"/>
      <c r="L61" s="307">
        <f>L69+J61*L70</f>
        <v/>
      </c>
      <c r="M61" s="136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79" t="n"/>
      <c r="AD61" s="179" t="n"/>
      <c r="AE61" s="179" t="n"/>
      <c r="AF61" s="179" t="n"/>
      <c r="AG61" s="179" t="n"/>
      <c r="AH61" s="179" t="n"/>
      <c r="AI61" s="179" t="n"/>
      <c r="AJ61" s="179" t="n"/>
      <c r="AK61" s="179" t="n"/>
    </row>
    <row r="62" ht="15" customFormat="1" customHeight="1" s="180">
      <c r="A62" s="52" t="n"/>
      <c r="B62" s="123" t="n"/>
      <c r="C62" s="145" t="n">
        <v>1.2</v>
      </c>
      <c r="D62" s="146" t="n"/>
      <c r="E62" s="307">
        <f>E69+C62*E70</f>
        <v/>
      </c>
      <c r="F62" s="136" t="n"/>
      <c r="G62" s="124" t="n"/>
      <c r="H62" s="124" t="n"/>
      <c r="I62" s="123" t="n"/>
      <c r="J62" s="145" t="n">
        <v>1.2</v>
      </c>
      <c r="K62" s="146" t="n"/>
      <c r="L62" s="307">
        <f>L69+J62*L70</f>
        <v/>
      </c>
      <c r="M62" s="136" t="n"/>
      <c r="N62" s="124" t="n"/>
      <c r="O62" s="113" t="n"/>
      <c r="P62" s="113" t="n"/>
      <c r="Q62" s="113" t="n"/>
      <c r="R62" s="113" t="n"/>
      <c r="S62" s="113" t="n"/>
      <c r="T62" s="52" t="n"/>
      <c r="U62" s="52" t="n"/>
      <c r="V62" s="52" t="n"/>
      <c r="AC62" s="179" t="n"/>
      <c r="AD62" s="179" t="n"/>
      <c r="AE62" s="179" t="n"/>
      <c r="AF62" s="179" t="n"/>
      <c r="AG62" s="179" t="n"/>
      <c r="AH62" s="179" t="n"/>
      <c r="AI62" s="179" t="n"/>
      <c r="AJ62" s="179" t="n"/>
      <c r="AK62" s="179" t="n"/>
    </row>
    <row r="63" ht="15" customFormat="1" customHeight="1" s="180">
      <c r="A63" s="52" t="n"/>
      <c r="B63" s="123" t="n"/>
      <c r="C63" s="145" t="n">
        <v>1.3</v>
      </c>
      <c r="D63" s="146" t="n"/>
      <c r="E63" s="307">
        <f>E69+C63*E70</f>
        <v/>
      </c>
      <c r="F63" s="136" t="n"/>
      <c r="G63" s="124" t="n"/>
      <c r="H63" s="124" t="n"/>
      <c r="I63" s="123" t="n"/>
      <c r="J63" s="145" t="n">
        <v>1.3</v>
      </c>
      <c r="K63" s="146" t="n"/>
      <c r="L63" s="307">
        <f>L69+J63*L70</f>
        <v/>
      </c>
      <c r="M63" s="136" t="n"/>
      <c r="N63" s="124" t="n"/>
      <c r="O63" s="113" t="n"/>
      <c r="P63" s="113" t="n"/>
      <c r="Q63" s="113" t="n"/>
      <c r="R63" s="113" t="n"/>
      <c r="S63" s="113" t="n"/>
      <c r="T63" s="52" t="n"/>
      <c r="U63" s="52" t="n"/>
      <c r="V63" s="52" t="n"/>
      <c r="AC63" s="179" t="n"/>
      <c r="AD63" s="179" t="n"/>
      <c r="AE63" s="179" t="n"/>
      <c r="AF63" s="179" t="n"/>
      <c r="AG63" s="179" t="n"/>
      <c r="AH63" s="179" t="n"/>
      <c r="AI63" s="179" t="n"/>
      <c r="AJ63" s="179" t="n"/>
      <c r="AK63" s="179" t="n"/>
    </row>
    <row r="64" ht="15" customFormat="1" customHeight="1" s="180">
      <c r="A64" s="52" t="n"/>
      <c r="B64" s="123" t="n"/>
      <c r="C64" s="145" t="n">
        <v>1.4</v>
      </c>
      <c r="D64" s="146" t="n"/>
      <c r="E64" s="307">
        <f>E69+C64*E70</f>
        <v/>
      </c>
      <c r="F64" s="136" t="n"/>
      <c r="G64" s="124" t="n"/>
      <c r="H64" s="124" t="n"/>
      <c r="I64" s="123" t="n"/>
      <c r="J64" s="145" t="n">
        <v>1.4</v>
      </c>
      <c r="K64" s="146" t="n"/>
      <c r="L64" s="307">
        <f>L69+J64*L70</f>
        <v/>
      </c>
      <c r="M64" s="136" t="n"/>
      <c r="N64" s="124" t="n"/>
      <c r="O64" s="113" t="n"/>
      <c r="P64" s="113" t="n"/>
      <c r="Q64" s="113" t="n"/>
      <c r="R64" s="113" t="n"/>
      <c r="S64" s="113" t="n"/>
      <c r="T64" s="52" t="n"/>
      <c r="U64" s="52" t="n"/>
      <c r="V64" s="52" t="n"/>
      <c r="AC64" s="179" t="n"/>
      <c r="AD64" s="179" t="n"/>
      <c r="AE64" s="179" t="n"/>
      <c r="AF64" s="179" t="n"/>
      <c r="AG64" s="179" t="n"/>
      <c r="AH64" s="179" t="n"/>
      <c r="AI64" s="179" t="n"/>
      <c r="AJ64" s="179" t="n"/>
      <c r="AK64" s="179" t="n"/>
    </row>
    <row r="65" ht="15" customFormat="1" customHeight="1" s="180">
      <c r="A65" s="52" t="n"/>
      <c r="B65" s="123" t="n"/>
      <c r="C65" s="145" t="n">
        <v>1.5</v>
      </c>
      <c r="D65" s="146" t="n"/>
      <c r="E65" s="307">
        <f>E69+C65*E70</f>
        <v/>
      </c>
      <c r="F65" s="136" t="n"/>
      <c r="G65" s="124" t="n"/>
      <c r="H65" s="124" t="n"/>
      <c r="I65" s="123" t="n"/>
      <c r="J65" s="145" t="n">
        <v>1.5</v>
      </c>
      <c r="K65" s="146" t="n"/>
      <c r="L65" s="307">
        <f>L69+J65*L70</f>
        <v/>
      </c>
      <c r="M65" s="136" t="n"/>
      <c r="N65" s="124" t="n"/>
      <c r="O65" s="113" t="n"/>
      <c r="P65" s="113" t="n"/>
      <c r="Q65" s="113" t="n"/>
      <c r="R65" s="113" t="n"/>
      <c r="S65" s="113" t="n"/>
      <c r="T65" s="52" t="n"/>
      <c r="U65" s="52" t="n"/>
      <c r="V65" s="52" t="n"/>
      <c r="AC65" s="179" t="n"/>
      <c r="AD65" s="179" t="n"/>
      <c r="AE65" s="179" t="n"/>
      <c r="AF65" s="179" t="n"/>
      <c r="AG65" s="179" t="n"/>
      <c r="AH65" s="179" t="n"/>
      <c r="AI65" s="179" t="n"/>
      <c r="AJ65" s="179" t="n"/>
      <c r="AK65" s="179" t="n"/>
    </row>
    <row r="66" ht="15" customFormat="1" customHeight="1" s="180" thickBot="1">
      <c r="A66" s="52" t="n"/>
      <c r="B66" s="123" t="n"/>
      <c r="C66" s="148" t="inlineStr">
        <is>
          <t>More than 1.6</t>
        </is>
      </c>
      <c r="D66" s="149" t="n"/>
      <c r="E66" s="309">
        <f>E69+1.6*E70</f>
        <v/>
      </c>
      <c r="F66" s="139" t="n"/>
      <c r="G66" s="124" t="n"/>
      <c r="H66" s="124" t="n"/>
      <c r="I66" s="123" t="n"/>
      <c r="J66" s="148" t="inlineStr">
        <is>
          <t>More than 1.6</t>
        </is>
      </c>
      <c r="K66" s="149" t="n"/>
      <c r="L66" s="309">
        <f>L69+1.6*L70</f>
        <v/>
      </c>
      <c r="M66" s="139" t="n"/>
      <c r="N66" s="124" t="n"/>
      <c r="O66" s="113" t="n"/>
      <c r="P66" s="113" t="n"/>
      <c r="Q66" s="113" t="n"/>
      <c r="R66" s="113" t="n"/>
      <c r="S66" s="113" t="n"/>
      <c r="T66" s="52" t="n"/>
      <c r="U66" s="52" t="n"/>
      <c r="V66" s="52" t="n"/>
      <c r="AC66" s="179" t="n"/>
      <c r="AD66" s="179" t="n"/>
      <c r="AE66" s="179" t="n"/>
      <c r="AF66" s="179" t="n"/>
      <c r="AG66" s="179" t="n"/>
      <c r="AH66" s="179" t="n"/>
      <c r="AI66" s="179" t="n"/>
      <c r="AJ66" s="179" t="n"/>
      <c r="AK66" s="179" t="n"/>
    </row>
    <row r="67" ht="15.75" customFormat="1" customHeight="1" s="181">
      <c r="A67" s="57" t="n"/>
      <c r="B67" s="114" t="n"/>
      <c r="C67" s="115" t="n"/>
      <c r="D67" s="115" t="n"/>
      <c r="E67" s="115" t="n"/>
      <c r="F67" s="115" t="n"/>
      <c r="G67" s="116" t="n"/>
      <c r="H67" s="116" t="n"/>
      <c r="I67" s="114" t="n"/>
      <c r="J67" s="116" t="n"/>
      <c r="K67" s="116" t="n"/>
      <c r="L67" s="116" t="n"/>
      <c r="M67" s="116" t="n"/>
      <c r="N67" s="116" t="n"/>
      <c r="O67" s="111" t="n"/>
      <c r="P67" s="111" t="n"/>
      <c r="Q67" s="111" t="n"/>
      <c r="R67" s="111" t="n"/>
      <c r="S67" s="111" t="n"/>
      <c r="T67" s="57" t="n"/>
      <c r="U67" s="57" t="n"/>
      <c r="V67" s="57" t="n"/>
      <c r="AC67" s="178" t="n"/>
      <c r="AD67" s="178" t="n"/>
      <c r="AE67" s="178" t="n"/>
      <c r="AF67" s="178" t="n"/>
      <c r="AG67" s="178" t="n"/>
      <c r="AH67" s="178" t="n"/>
      <c r="AI67" s="178" t="n"/>
      <c r="AJ67" s="178" t="n"/>
      <c r="AK67" s="178" t="n"/>
    </row>
    <row r="68" ht="20.1" customFormat="1" customHeight="1" s="200">
      <c r="A68" s="197" t="n"/>
      <c r="B68" s="199" t="n"/>
      <c r="C68" s="198" t="inlineStr">
        <is>
          <t>Discount Rate = Risk Free Rate + Beta x Market Risk Premium</t>
        </is>
      </c>
      <c r="D68" s="176" t="n"/>
      <c r="E68" s="176" t="n"/>
      <c r="F68" s="176" t="n"/>
      <c r="G68" s="199" t="n"/>
      <c r="H68" s="199" t="n"/>
      <c r="I68" s="199" t="n"/>
      <c r="J68" s="198" t="inlineStr">
        <is>
          <t>Discount Rate = Risk Free Rate + Beta x Market Risk Premium</t>
        </is>
      </c>
      <c r="K68" s="199" t="n"/>
      <c r="L68" s="199" t="n"/>
      <c r="M68" s="199" t="n"/>
      <c r="N68" s="199" t="n"/>
      <c r="O68" s="199" t="n"/>
      <c r="P68" s="199" t="n"/>
      <c r="Q68" s="199" t="n"/>
      <c r="R68" s="199" t="n"/>
      <c r="S68" s="199" t="n"/>
      <c r="T68" s="199" t="n"/>
      <c r="U68" s="199" t="n"/>
      <c r="V68" s="197" t="n"/>
    </row>
    <row r="69" ht="20.1" customFormat="1" customHeight="1" s="200">
      <c r="A69" s="197" t="n"/>
      <c r="B69" s="199" t="n"/>
      <c r="C69" s="199" t="n"/>
      <c r="D69" s="201" t="inlineStr">
        <is>
          <t>Risk Free Rate =</t>
        </is>
      </c>
      <c r="E69" s="202" t="n">
        <v>0.016</v>
      </c>
      <c r="F69" s="208" t="n"/>
      <c r="G69" s="208" t="n"/>
      <c r="H69" s="208" t="n"/>
      <c r="I69" s="208" t="n"/>
      <c r="J69" s="208" t="n"/>
      <c r="K69" s="201" t="inlineStr">
        <is>
          <t>Risk Free Rate =</t>
        </is>
      </c>
      <c r="L69" s="202" t="n">
        <v>0.013</v>
      </c>
      <c r="M69" s="199" t="n"/>
      <c r="N69" s="199" t="n"/>
      <c r="O69" s="199" t="n"/>
      <c r="P69" s="199" t="n"/>
      <c r="Q69" s="199" t="n"/>
      <c r="R69" s="199" t="n"/>
      <c r="S69" s="199" t="n"/>
      <c r="T69" s="199" t="n"/>
      <c r="U69" s="199" t="n"/>
      <c r="V69" s="197" t="n"/>
    </row>
    <row r="70" ht="20.1" customFormat="1" customHeight="1" s="200">
      <c r="A70" s="197" t="n"/>
      <c r="B70" s="199" t="n"/>
      <c r="C70" s="199" t="n"/>
      <c r="D70" s="201" t="inlineStr">
        <is>
          <t>Average market risk premium =</t>
        </is>
      </c>
      <c r="E70" s="202" t="n">
        <v>0.0428</v>
      </c>
      <c r="F70" s="208" t="n"/>
      <c r="G70" s="208" t="n"/>
      <c r="H70" s="208" t="n"/>
      <c r="I70" s="208" t="n"/>
      <c r="J70" s="208" t="n"/>
      <c r="K70" s="201" t="inlineStr">
        <is>
          <t>Average market risk premium =</t>
        </is>
      </c>
      <c r="L70" s="202" t="n">
        <v>0.066</v>
      </c>
      <c r="M70" s="199" t="n"/>
      <c r="N70" s="199" t="n"/>
      <c r="O70" s="199" t="n"/>
      <c r="P70" s="199" t="n"/>
      <c r="Q70" s="199" t="n"/>
      <c r="R70" s="199" t="n"/>
      <c r="S70" s="199" t="n"/>
      <c r="T70" s="199" t="n"/>
      <c r="U70" s="199" t="n"/>
      <c r="V70" s="197" t="n"/>
    </row>
    <row r="71" ht="15.75" customFormat="1" customHeight="1" s="181">
      <c r="A71" s="57" t="n"/>
      <c r="B71" s="114" t="n"/>
      <c r="C71" s="115" t="n"/>
      <c r="D71" s="115" t="n"/>
      <c r="E71" s="115" t="n"/>
      <c r="F71" s="116" t="n"/>
      <c r="G71" s="116" t="n"/>
      <c r="H71" s="116" t="n"/>
      <c r="I71" s="116" t="n"/>
      <c r="J71" s="116" t="n"/>
      <c r="K71" s="116" t="n"/>
      <c r="L71" s="116" t="n"/>
      <c r="M71" s="116" t="n"/>
      <c r="N71" s="116" t="n"/>
      <c r="O71" s="111" t="n"/>
      <c r="P71" s="111" t="n"/>
      <c r="Q71" s="111" t="n"/>
      <c r="R71" s="111" t="n"/>
      <c r="S71" s="111" t="n"/>
      <c r="T71" s="57" t="n"/>
      <c r="U71" s="57" t="n"/>
      <c r="V71" s="57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</row>
    <row r="72" ht="15.75" customFormat="1" customHeight="1" s="182">
      <c r="A72" s="116" t="n"/>
      <c r="B72" s="116" t="n"/>
      <c r="C72" s="115" t="inlineStr">
        <is>
          <t>Source:</t>
        </is>
      </c>
      <c r="D72" s="115" t="n"/>
      <c r="E72" s="115" t="n"/>
      <c r="F72" s="116" t="n"/>
      <c r="G72" s="116" t="n"/>
      <c r="H72" s="116" t="n"/>
      <c r="I72" s="116" t="n"/>
      <c r="J72" s="115" t="inlineStr">
        <is>
          <t>Source:</t>
        </is>
      </c>
      <c r="K72" s="116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</row>
    <row r="73" customFormat="1" s="183">
      <c r="A73" s="123" t="n"/>
      <c r="B73" s="114" t="n"/>
      <c r="C73" s="170" t="inlineStr">
        <is>
          <t>http://www.market-risk-premia.com/us.html</t>
        </is>
      </c>
      <c r="D73" s="170" t="n"/>
      <c r="E73" s="171" t="n"/>
      <c r="F73" s="114" t="n"/>
      <c r="G73" s="114" t="n"/>
      <c r="H73" s="114" t="n"/>
      <c r="I73" s="114" t="n"/>
      <c r="J73" s="170" t="inlineStr">
        <is>
          <t>http://www.market-risk-premia.com/hk.html</t>
        </is>
      </c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23" t="n"/>
    </row>
    <row r="74" ht="12" customFormat="1" customHeight="1" s="180">
      <c r="A74" s="52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57" t="n"/>
      <c r="P74" s="57" t="n"/>
      <c r="Q74" s="57" t="n"/>
      <c r="R74" s="57" t="n"/>
      <c r="S74" s="57" t="n"/>
      <c r="T74" s="57" t="n"/>
      <c r="U74" s="57" t="n"/>
      <c r="V74" s="52" t="n"/>
      <c r="AC74" s="179" t="n"/>
      <c r="AD74" s="179" t="n"/>
      <c r="AE74" s="179" t="n"/>
      <c r="AF74" s="179" t="n"/>
      <c r="AG74" s="179" t="n"/>
      <c r="AH74" s="179" t="n"/>
      <c r="AI74" s="179" t="n"/>
      <c r="AJ74" s="179" t="n"/>
      <c r="AK74" s="179" t="n"/>
    </row>
    <row r="75" ht="12" customFormat="1" customHeight="1" s="180">
      <c r="A75" s="52" t="n"/>
      <c r="B75" s="114" t="n"/>
      <c r="C75" s="115" t="n"/>
      <c r="D75" s="115" t="n"/>
      <c r="E75" s="115" t="n"/>
      <c r="F75" s="115" t="n"/>
      <c r="G75" s="116" t="n"/>
      <c r="H75" s="116" t="n"/>
      <c r="I75" s="116" t="n"/>
      <c r="J75" s="116" t="n"/>
      <c r="K75" s="116" t="n"/>
      <c r="L75" s="116" t="n"/>
      <c r="M75" s="116" t="n"/>
      <c r="N75" s="116" t="n"/>
      <c r="O75" s="111" t="n"/>
      <c r="P75" s="111" t="n"/>
      <c r="Q75" s="111" t="n"/>
      <c r="R75" s="111" t="n"/>
      <c r="S75" s="111" t="n"/>
      <c r="T75" s="112" t="n"/>
      <c r="U75" s="112" t="n"/>
      <c r="V75" s="52" t="n"/>
      <c r="AC75" s="179" t="n"/>
      <c r="AD75" s="179" t="n"/>
      <c r="AE75" s="179" t="n"/>
      <c r="AF75" s="179" t="n"/>
      <c r="AG75" s="179" t="n"/>
      <c r="AH75" s="179" t="n"/>
      <c r="AI75" s="179" t="n"/>
      <c r="AJ75" s="179" t="n"/>
      <c r="AK75" s="179" t="n"/>
    </row>
    <row r="76" ht="18" customFormat="1" customHeight="1" s="181">
      <c r="A76" s="57" t="n"/>
      <c r="B76" s="114" t="n"/>
      <c r="C76" s="127" t="inlineStr">
        <is>
          <t>Currency Data</t>
        </is>
      </c>
      <c r="D76" s="115" t="n"/>
      <c r="E76" s="115" t="n"/>
      <c r="F76" s="115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1" t="n"/>
      <c r="P76" s="111" t="n"/>
      <c r="Q76" s="111" t="n"/>
      <c r="R76" s="111" t="n"/>
      <c r="S76" s="111" t="n"/>
      <c r="T76" s="112" t="n"/>
      <c r="U76" s="112" t="n"/>
      <c r="V76" s="57" t="n"/>
      <c r="AC76" s="187" t="n"/>
      <c r="AD76" s="187" t="n"/>
      <c r="AE76" s="187" t="n"/>
      <c r="AF76" s="187" t="n"/>
      <c r="AG76" s="187" t="n"/>
      <c r="AH76" s="187" t="n"/>
      <c r="AI76" s="187" t="n"/>
      <c r="AJ76" s="187" t="n"/>
      <c r="AK76" s="187" t="n"/>
    </row>
    <row r="77" ht="15.75" customFormat="1" customHeight="1" s="181" thickBot="1">
      <c r="A77" s="57" t="n"/>
      <c r="B77" s="114" t="n"/>
      <c r="C77" s="116" t="n"/>
      <c r="D77" s="116" t="n"/>
      <c r="E77" s="116" t="n"/>
      <c r="F77" s="116" t="n"/>
      <c r="G77" s="116" t="n"/>
      <c r="H77" s="116" t="n"/>
      <c r="I77" s="116" t="n"/>
      <c r="J77" s="116" t="n"/>
      <c r="K77" s="116" t="n"/>
      <c r="L77" s="116" t="n"/>
      <c r="M77" s="116" t="n"/>
      <c r="N77" s="116" t="n"/>
      <c r="O77" s="111" t="n"/>
      <c r="P77" s="111" t="n"/>
      <c r="Q77" s="111" t="n"/>
      <c r="R77" s="111" t="n"/>
      <c r="S77" s="111" t="n"/>
      <c r="T77" s="112" t="n"/>
      <c r="U77" s="112" t="n"/>
      <c r="V77" s="57" t="n"/>
      <c r="AC77" s="178" t="n"/>
      <c r="AD77" s="178" t="n"/>
      <c r="AE77" s="178" t="n"/>
      <c r="AF77" s="178" t="n"/>
      <c r="AG77" s="178" t="n"/>
      <c r="AH77" s="178" t="n"/>
      <c r="AI77" s="178" t="n"/>
      <c r="AJ77" s="178" t="n"/>
      <c r="AK77" s="178" t="n"/>
    </row>
    <row r="78" ht="25.5" customFormat="1" customHeight="1" s="181" thickBot="1">
      <c r="A78" s="57" t="n"/>
      <c r="B78" s="114" t="n"/>
      <c r="C78" s="174" t="inlineStr">
        <is>
          <t>CURRENCY</t>
        </is>
      </c>
      <c r="D78" s="172" t="n"/>
      <c r="E78" s="177" t="inlineStr">
        <is>
          <t>SYMBOL</t>
        </is>
      </c>
      <c r="F78" s="116" t="n"/>
      <c r="G78" s="116" t="n"/>
      <c r="H78" s="116" t="n"/>
      <c r="I78" s="116" t="n"/>
      <c r="J78" s="116" t="n"/>
      <c r="K78" s="116" t="n"/>
      <c r="L78" s="116" t="n"/>
      <c r="M78" s="116" t="n"/>
      <c r="N78" s="116" t="n"/>
      <c r="O78" s="111" t="n"/>
      <c r="P78" s="111" t="n"/>
      <c r="Q78" s="111" t="n"/>
      <c r="R78" s="111" t="n"/>
      <c r="S78" s="111" t="n"/>
      <c r="T78" s="112" t="n"/>
      <c r="U78" s="112" t="n"/>
      <c r="V78" s="57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</row>
    <row r="79" ht="16.5" customFormat="1" customHeight="1" s="181">
      <c r="A79" s="57" t="n"/>
      <c r="B79" s="114" t="n"/>
      <c r="C79" s="132" t="inlineStr">
        <is>
          <t>Australian Dollar</t>
        </is>
      </c>
      <c r="D79" s="133" t="n"/>
      <c r="E79" s="134" t="inlineStr">
        <is>
          <t>AUD$</t>
        </is>
      </c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1" t="n"/>
      <c r="P79" s="111" t="n"/>
      <c r="Q79" s="111" t="n"/>
      <c r="R79" s="111" t="n"/>
      <c r="S79" s="111" t="n"/>
      <c r="T79" s="112" t="n"/>
      <c r="U79" s="112" t="n"/>
      <c r="V79" s="57" t="n"/>
      <c r="AC79" s="178" t="n"/>
      <c r="AD79" s="178" t="n"/>
      <c r="AE79" s="178" t="n"/>
      <c r="AF79" s="178" t="n"/>
      <c r="AG79" s="178" t="n"/>
      <c r="AH79" s="178" t="n"/>
      <c r="AI79" s="178" t="n"/>
      <c r="AJ79" s="178" t="n"/>
      <c r="AK79" s="178" t="n"/>
    </row>
    <row r="80" ht="16.5" customHeight="1">
      <c r="A80" s="112" t="n"/>
      <c r="B80" s="114" t="n"/>
      <c r="C80" s="135" t="inlineStr">
        <is>
          <t>British Pound Sterling</t>
        </is>
      </c>
      <c r="D80" s="136" t="n"/>
      <c r="E80" s="137" t="inlineStr">
        <is>
          <t>GBP$</t>
        </is>
      </c>
      <c r="F80" s="116" t="n"/>
      <c r="G80" s="116" t="n"/>
      <c r="H80" s="116" t="n"/>
      <c r="I80" s="116" t="n"/>
      <c r="J80" s="116" t="n"/>
      <c r="K80" s="116" t="n"/>
      <c r="L80" s="116" t="n"/>
      <c r="M80" s="116" t="n"/>
      <c r="N80" s="116" t="n"/>
      <c r="O80" s="111" t="n"/>
      <c r="P80" s="111" t="n"/>
      <c r="Q80" s="111" t="n"/>
      <c r="R80" s="111" t="n"/>
      <c r="S80" s="111" t="n"/>
      <c r="T80" s="112" t="n"/>
      <c r="U80" s="112" t="n"/>
      <c r="V80" s="112" t="n"/>
    </row>
    <row r="81" ht="16.5" customHeight="1">
      <c r="A81" s="112" t="n"/>
      <c r="B81" s="114" t="n"/>
      <c r="C81" s="135" t="inlineStr">
        <is>
          <t>Chinese Ren Min Bi</t>
        </is>
      </c>
      <c r="D81" s="136" t="n"/>
      <c r="E81" s="137" t="inlineStr">
        <is>
          <t>RMB$</t>
        </is>
      </c>
      <c r="F81" s="116" t="n"/>
      <c r="G81" s="116" t="n"/>
      <c r="H81" s="116" t="n"/>
      <c r="I81" s="116" t="n"/>
      <c r="J81" s="116" t="n"/>
      <c r="K81" s="116" t="n"/>
      <c r="L81" s="116" t="n"/>
      <c r="M81" s="116" t="n"/>
      <c r="N81" s="116" t="n"/>
      <c r="O81" s="111" t="n"/>
      <c r="P81" s="111" t="n"/>
      <c r="Q81" s="111" t="n"/>
      <c r="R81" s="111" t="n"/>
      <c r="S81" s="111" t="n"/>
      <c r="T81" s="112" t="n"/>
      <c r="U81" s="112" t="n"/>
      <c r="V81" s="112" t="n"/>
    </row>
    <row r="82" ht="16.5" customHeight="1">
      <c r="A82" s="112" t="n"/>
      <c r="B82" s="114" t="n"/>
      <c r="C82" s="135" t="inlineStr">
        <is>
          <t>Euro Dollar</t>
        </is>
      </c>
      <c r="D82" s="136" t="n"/>
      <c r="E82" s="137" t="inlineStr">
        <is>
          <t>EUR$</t>
        </is>
      </c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1" t="n"/>
      <c r="P82" s="111" t="n"/>
      <c r="Q82" s="111" t="n"/>
      <c r="R82" s="111" t="n"/>
      <c r="S82" s="111" t="n"/>
      <c r="T82" s="112" t="n"/>
      <c r="U82" s="112" t="n"/>
      <c r="V82" s="112" t="n"/>
    </row>
    <row r="83" ht="16.5" customHeight="1">
      <c r="A83" s="112" t="n"/>
      <c r="B83" s="114" t="n"/>
      <c r="C83" s="135" t="inlineStr">
        <is>
          <t>Hong Kong Dollar</t>
        </is>
      </c>
      <c r="D83" s="136" t="n"/>
      <c r="E83" s="137" t="inlineStr">
        <is>
          <t>HKD$</t>
        </is>
      </c>
      <c r="F83" s="116" t="n"/>
      <c r="G83" s="116" t="n"/>
      <c r="H83" s="116" t="n"/>
      <c r="I83" s="116" t="n"/>
      <c r="J83" s="116" t="n"/>
      <c r="K83" s="116" t="n"/>
      <c r="L83" s="116" t="n"/>
      <c r="M83" s="116" t="n"/>
      <c r="N83" s="116" t="n"/>
      <c r="O83" s="111" t="n"/>
      <c r="P83" s="111" t="n"/>
      <c r="Q83" s="111" t="n"/>
      <c r="R83" s="111" t="n"/>
      <c r="S83" s="111" t="n"/>
      <c r="T83" s="112" t="n"/>
      <c r="U83" s="112" t="n"/>
      <c r="V83" s="112" t="n"/>
    </row>
    <row r="84" ht="16.5" customHeight="1">
      <c r="A84" s="112" t="n"/>
      <c r="B84" s="114" t="n"/>
      <c r="C84" s="135" t="inlineStr">
        <is>
          <t>Indonesian Rupiah</t>
        </is>
      </c>
      <c r="D84" s="136" t="n"/>
      <c r="E84" s="137" t="inlineStr">
        <is>
          <t>IDR$</t>
        </is>
      </c>
      <c r="F84" s="116" t="n"/>
      <c r="G84" s="116" t="n"/>
      <c r="H84" s="116" t="n"/>
      <c r="I84" s="116" t="n"/>
      <c r="J84" s="116" t="n"/>
      <c r="K84" s="116" t="n"/>
      <c r="L84" s="116" t="n"/>
      <c r="M84" s="116" t="n"/>
      <c r="N84" s="116" t="n"/>
      <c r="O84" s="111" t="n"/>
      <c r="P84" s="111" t="n"/>
      <c r="Q84" s="111" t="n"/>
      <c r="R84" s="111" t="n"/>
      <c r="S84" s="111" t="n"/>
      <c r="T84" s="112" t="n"/>
      <c r="U84" s="112" t="n"/>
      <c r="V84" s="112" t="n"/>
    </row>
    <row r="85" ht="16.5" customHeight="1">
      <c r="A85" s="112" t="n"/>
      <c r="B85" s="114" t="n"/>
      <c r="C85" s="135" t="inlineStr">
        <is>
          <t>Malaysian Ringgit</t>
        </is>
      </c>
      <c r="D85" s="136" t="n"/>
      <c r="E85" s="137" t="inlineStr">
        <is>
          <t>RM$</t>
        </is>
      </c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1" t="n"/>
      <c r="P85" s="111" t="n"/>
      <c r="Q85" s="111" t="n"/>
      <c r="R85" s="111" t="n"/>
      <c r="S85" s="111" t="n"/>
      <c r="T85" s="112" t="n"/>
      <c r="U85" s="112" t="n"/>
      <c r="V85" s="112" t="n"/>
    </row>
    <row r="86" ht="16.5" customHeight="1">
      <c r="A86" s="112" t="n"/>
      <c r="B86" s="114" t="n"/>
      <c r="C86" s="135" t="inlineStr">
        <is>
          <t>Singapore Dollar</t>
        </is>
      </c>
      <c r="D86" s="136" t="n"/>
      <c r="E86" s="137" t="inlineStr">
        <is>
          <t>SGD$</t>
        </is>
      </c>
      <c r="F86" s="116" t="n"/>
      <c r="G86" s="116" t="n"/>
      <c r="H86" s="116" t="n"/>
      <c r="I86" s="116" t="n"/>
      <c r="J86" s="116" t="n"/>
      <c r="K86" s="116" t="n"/>
      <c r="L86" s="116" t="n"/>
      <c r="M86" s="116" t="n"/>
      <c r="N86" s="116" t="n"/>
      <c r="O86" s="111" t="n"/>
      <c r="P86" s="111" t="n"/>
      <c r="Q86" s="111" t="n"/>
      <c r="R86" s="111" t="n"/>
      <c r="S86" s="111" t="n"/>
      <c r="T86" s="112" t="n"/>
      <c r="U86" s="112" t="n"/>
      <c r="V86" s="112" t="n"/>
    </row>
    <row r="87" ht="16.5" customHeight="1" thickBot="1">
      <c r="A87" s="112" t="n"/>
      <c r="B87" s="114" t="n"/>
      <c r="C87" s="138" t="inlineStr">
        <is>
          <t>US Dollar</t>
        </is>
      </c>
      <c r="D87" s="139" t="n"/>
      <c r="E87" s="140" t="inlineStr">
        <is>
          <t>USD$</t>
        </is>
      </c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2" t="n"/>
      <c r="P87" s="112" t="n"/>
      <c r="Q87" s="112" t="n"/>
      <c r="R87" s="112" t="n"/>
      <c r="S87" s="112" t="n"/>
      <c r="T87" s="112" t="n"/>
      <c r="U87" s="112" t="n"/>
      <c r="V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</row>
    <row r="89">
      <c r="A89" s="112" t="n"/>
      <c r="B89" s="226" t="n"/>
      <c r="N89" s="215" t="inlineStr">
        <is>
          <t xml:space="preserve">©️ 2020 Piranha Ltd. All rights reserved.    </t>
        </is>
      </c>
      <c r="V89" s="112" t="n"/>
    </row>
    <row r="90">
      <c r="A90" s="112" t="n"/>
      <c r="V90" s="112" t="n"/>
    </row>
    <row r="91">
      <c r="A91" s="112" t="n"/>
      <c r="V91" s="112" t="n"/>
    </row>
    <row r="92">
      <c r="A92" s="112" t="n"/>
      <c r="V92" s="112" t="n"/>
    </row>
    <row r="93">
      <c r="A93" s="112" t="n"/>
      <c r="V93" s="112" t="n"/>
    </row>
    <row r="94">
      <c r="A94" s="112" t="n"/>
      <c r="V94" s="112" t="n"/>
    </row>
    <row r="95">
      <c r="A95" s="112" t="n"/>
      <c r="V95" s="112" t="n"/>
    </row>
  </sheetData>
  <mergeCells count="30"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F22:H22"/>
    <mergeCell ref="N12:O12"/>
    <mergeCell ref="M20:N20"/>
    <mergeCell ref="N89:U95"/>
    <mergeCell ref="L24:M24"/>
    <mergeCell ref="Q10:R10"/>
    <mergeCell ref="N18:O18"/>
    <mergeCell ref="B2:U2"/>
    <mergeCell ref="M22:N22"/>
    <mergeCell ref="N14:O14"/>
    <mergeCell ref="N8:O8"/>
    <mergeCell ref="L26:M26"/>
    <mergeCell ref="J18:L18"/>
    <mergeCell ref="N10:O10"/>
    <mergeCell ref="G14:H14"/>
    <mergeCell ref="C34:E34"/>
    <mergeCell ref="F10:H10"/>
    <mergeCell ref="B89:M95"/>
    <mergeCell ref="G16:H16"/>
    <mergeCell ref="C29:E29"/>
  </mergeCells>
  <dataValidations count="2">
    <dataValidation sqref="S8 S10" showDropDown="0" showInputMessage="1" showErrorMessage="1" allowBlank="1" type="list">
      <formula1>$E$79:$E$87</formula1>
    </dataValidation>
    <dataValidation sqref="C12:E12" showDropDown="0" showInputMessage="1" showErrorMessage="1" allowBlank="1" type="list">
      <formula1>$AD$6:$AD$8</formula1>
    </dataValidation>
  </dataValidations>
  <hyperlinks>
    <hyperlink xmlns:r="http://schemas.openxmlformats.org/officeDocument/2006/relationships" ref="C73" r:id="rId1"/>
    <hyperlink xmlns:r="http://schemas.openxmlformats.org/officeDocument/2006/relationships" ref="J73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0"/>
  <sheetViews>
    <sheetView showGridLines="0" topLeftCell="E1" zoomScaleNormal="100" workbookViewId="0">
      <selection activeCell="L26" sqref="L26:M26"/>
    </sheetView>
  </sheetViews>
  <sheetFormatPr baseColWidth="8" defaultColWidth="8.625" defaultRowHeight="12.75"/>
  <cols>
    <col width="1.125" customWidth="1" style="10" min="1" max="1"/>
    <col width="11.5" customWidth="1" style="10" min="2" max="2"/>
    <col width="12.625" customWidth="1" style="10" min="3" max="8"/>
    <col width="15.625" customWidth="1" style="10" min="9" max="9"/>
    <col width="12.625" customWidth="1" style="10" min="10" max="15"/>
    <col width="3.625" customWidth="1" style="10" min="16" max="16"/>
    <col width="9.625" customWidth="1" style="10" min="17" max="17"/>
    <col width="8.625" customWidth="1" style="10" min="18" max="19"/>
    <col width="9.125" customWidth="1" style="10" min="20" max="20"/>
    <col width="3.125" customWidth="1" style="10" min="21" max="21"/>
    <col width="1.5" customWidth="1" style="10" min="22" max="22"/>
    <col width="8.625" customWidth="1" style="10" min="23" max="28"/>
    <col width="8.625" customWidth="1" style="48" min="29" max="29"/>
    <col hidden="1" width="27.5" customWidth="1" style="48" min="30" max="31"/>
    <col hidden="1" width="29.75" customWidth="1" style="48" min="32" max="32"/>
    <col hidden="1" width="30.875" customWidth="1" style="48" min="33" max="33"/>
    <col hidden="1" width="29" customWidth="1" style="48" min="34" max="34"/>
    <col hidden="1" width="27.75" customWidth="1" style="48" min="35" max="35"/>
    <col width="8.625" customWidth="1" style="48" min="36" max="36"/>
    <col width="8.625" customWidth="1" style="10" min="37" max="16384"/>
  </cols>
  <sheetData>
    <row r="1" ht="7.5" customHeight="1" thickBot="1">
      <c r="A1" s="57" t="n"/>
      <c r="B1" s="57" t="n"/>
      <c r="C1" s="58" t="n"/>
      <c r="D1" s="58" t="n"/>
      <c r="E1" s="58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7" t="n"/>
      <c r="U1" s="57" t="n"/>
      <c r="V1" s="57" t="n"/>
    </row>
    <row r="2" ht="41.25" customHeight="1">
      <c r="A2" s="57" t="n"/>
      <c r="B2" s="284">
        <f>"Intrinsic Value Calculator ("&amp;VLOOKUP(C12,AD6:AI8,6,FALSE)&amp;" 10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57" t="n"/>
    </row>
    <row r="3" ht="41.25" customHeight="1">
      <c r="A3" s="57" t="n"/>
      <c r="B3" s="287" t="inlineStr">
        <is>
          <t>(Be consistent with the denominations used. Usually Millions $)</t>
        </is>
      </c>
      <c r="U3" s="288" t="n"/>
      <c r="V3" s="57" t="n"/>
      <c r="AC3" s="184" t="n"/>
      <c r="AD3" s="184" t="n"/>
      <c r="AE3" s="184" t="n"/>
      <c r="AF3" s="184" t="n"/>
      <c r="AG3" s="184" t="n"/>
      <c r="AH3" s="184" t="n"/>
      <c r="AI3" s="184" t="n"/>
      <c r="AJ3" s="184" t="n"/>
    </row>
    <row r="4" ht="5.25" customHeight="1" thickBot="1">
      <c r="A4" s="57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57" t="n"/>
    </row>
    <row r="5" ht="11.25" customHeight="1">
      <c r="A5" s="57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57" t="n"/>
    </row>
    <row r="6" ht="30.95" customHeight="1">
      <c r="A6" s="57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57" t="n"/>
      <c r="AD6" s="48" t="inlineStr">
        <is>
          <t>Operating Cash Flow (Current)</t>
        </is>
      </c>
      <c r="AE6" s="48" t="inlineStr">
        <is>
          <t>Cash Flow</t>
        </is>
      </c>
      <c r="AF6" s="48" t="inlineStr">
        <is>
          <t>Cash Flow Growth Rate (Yr 1 - 5)</t>
        </is>
      </c>
      <c r="AG6" s="48" t="inlineStr">
        <is>
          <t>Cash Flow Growth Rate (Yr 6 - 10)</t>
        </is>
      </c>
      <c r="AH6" s="48" t="inlineStr">
        <is>
          <t>Operating Cash Flow (Projected)</t>
        </is>
      </c>
      <c r="AI6" s="48" t="inlineStr">
        <is>
          <t>Discounted Cash Flow Method</t>
        </is>
      </c>
    </row>
    <row r="7" ht="8.1" customHeight="1">
      <c r="A7" s="57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57" t="n"/>
      <c r="AD7" s="48" t="inlineStr">
        <is>
          <t>Net Income (Current)</t>
        </is>
      </c>
      <c r="AE7" s="48" t="inlineStr">
        <is>
          <t>Net Income</t>
        </is>
      </c>
      <c r="AF7" s="48" t="inlineStr">
        <is>
          <t>Net Income Growth Rate (Yr 1 - 5)</t>
        </is>
      </c>
      <c r="AG7" s="48" t="inlineStr">
        <is>
          <t>Net Income Growth Rate (Yr 6 - 10)</t>
        </is>
      </c>
      <c r="AH7" s="48" t="inlineStr">
        <is>
          <t>Net Income (Projected)</t>
        </is>
      </c>
      <c r="AI7" s="48" t="inlineStr">
        <is>
          <t>Discounted Net Income Method</t>
        </is>
      </c>
    </row>
    <row r="8" ht="24.95" customHeight="1">
      <c r="A8" s="57" t="n"/>
      <c r="B8" s="60" t="n"/>
      <c r="C8" s="238" t="inlineStr">
        <is>
          <t>Name of Stock</t>
        </is>
      </c>
      <c r="D8" s="231" t="n"/>
      <c r="E8" s="239" t="n"/>
      <c r="F8" s="310" t="inlineStr">
        <is>
          <t>Thermo Fisher Scientific Inc.</t>
        </is>
      </c>
      <c r="G8" s="290" t="n"/>
      <c r="H8" s="291" t="n"/>
      <c r="I8" s="71" t="n"/>
      <c r="J8" s="95">
        <f>"PV of 10 yr "&amp;VLOOKUP(C12,AD6:AI8,2,FALSE)</f>
        <v/>
      </c>
      <c r="K8" s="83" t="n"/>
      <c r="L8" s="83" t="n"/>
      <c r="M8" s="292">
        <f>$S$8</f>
        <v/>
      </c>
      <c r="N8" s="293">
        <f>SUM(F31:O31)</f>
        <v/>
      </c>
      <c r="O8" s="291" t="n"/>
      <c r="P8" s="61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57" t="n"/>
      <c r="AD8" s="48" t="inlineStr">
        <is>
          <t>Free Cash Flow (Current)</t>
        </is>
      </c>
      <c r="AE8" s="48" t="inlineStr">
        <is>
          <t>Free Cash Flow</t>
        </is>
      </c>
      <c r="AF8" s="48" t="inlineStr">
        <is>
          <t>Free Cash Flow Growth Rate (Yr 1 - 5)</t>
        </is>
      </c>
      <c r="AG8" s="48" t="inlineStr">
        <is>
          <t>Free Cash Flow growth rate (Yr 6 - 10)</t>
        </is>
      </c>
      <c r="AH8" s="48" t="inlineStr">
        <is>
          <t>Free Cash Flow (Projected)</t>
        </is>
      </c>
      <c r="AI8" s="48" t="inlineStr">
        <is>
          <t>Discounted Free Cash Flow Method</t>
        </is>
      </c>
    </row>
    <row r="9" ht="3.95" customHeight="1">
      <c r="A9" s="57" t="n"/>
      <c r="B9" s="60" t="n"/>
      <c r="C9" s="92" t="n"/>
      <c r="D9" s="92" t="n"/>
      <c r="E9" s="92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1" t="n"/>
      <c r="Q9" s="188" t="n"/>
      <c r="R9" s="188" t="n"/>
      <c r="S9" s="188" t="n"/>
      <c r="T9" s="61" t="n"/>
      <c r="U9" s="65" t="n"/>
      <c r="V9" s="57" t="n"/>
    </row>
    <row r="10" ht="24.95" customHeight="1">
      <c r="A10" s="57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TMO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1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57" t="n"/>
    </row>
    <row r="11" ht="3.95" customHeight="1">
      <c r="A11" s="57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57" t="n"/>
    </row>
    <row r="12" ht="24.95" customHeight="1">
      <c r="A12" s="57" t="n"/>
      <c r="B12" s="74" t="n"/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6704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57" t="n"/>
    </row>
    <row r="13" ht="3.95" customHeight="1">
      <c r="A13" s="57" t="n"/>
      <c r="B13" s="60" t="n"/>
      <c r="C13" s="94" t="n"/>
      <c r="D13" s="94" t="n"/>
      <c r="E13" s="94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57" t="n"/>
    </row>
    <row r="14" ht="24.95" customHeight="1">
      <c r="A14" s="57" t="n"/>
      <c r="B14" s="74" t="n"/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43161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57" t="n"/>
    </row>
    <row r="15" ht="3.95" customHeight="1">
      <c r="A15" s="57" t="n"/>
      <c r="B15" s="60" t="n"/>
      <c r="C15" s="94" t="n"/>
      <c r="D15" s="94" t="n"/>
      <c r="E15" s="94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57" t="n"/>
    </row>
    <row r="16" ht="24.95" customHeight="1">
      <c r="A16" s="57" t="n"/>
      <c r="B16" s="74" t="n"/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3256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57" t="n"/>
    </row>
    <row r="17" ht="3.95" customHeight="1">
      <c r="A17" s="57" t="n"/>
      <c r="B17" s="60" t="n"/>
      <c r="C17" s="94" t="n"/>
      <c r="D17" s="94" t="n"/>
      <c r="E17" s="94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57" t="n"/>
    </row>
    <row r="18" ht="24.95" customHeight="1">
      <c r="A18" s="57" t="n"/>
      <c r="B18" s="60" t="n"/>
      <c r="C18" s="238">
        <f>VLOOKUP(C12,AD6:AI8,3,FALSE)</f>
        <v/>
      </c>
      <c r="D18" s="231" t="n"/>
      <c r="E18" s="239" t="n"/>
      <c r="F18" s="300" t="n">
        <v>0.002075477652143887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57" t="n"/>
    </row>
    <row r="19" ht="3.95" customHeight="1">
      <c r="A19" s="57" t="n"/>
      <c r="B19" s="60" t="n"/>
      <c r="C19" s="61" t="n"/>
      <c r="D19" s="61" t="n"/>
      <c r="E19" s="61" t="n"/>
      <c r="F19" s="76" t="n"/>
      <c r="G19" s="76" t="n">
        <v>15</v>
      </c>
      <c r="H19" s="75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5" t="n"/>
      <c r="V19" s="57" t="n"/>
    </row>
    <row r="20" ht="24.95" customHeight="1">
      <c r="A20" s="57" t="n"/>
      <c r="B20" s="60" t="n"/>
      <c r="C20" s="238">
        <f>VLOOKUP(C12,AD6:AI8,4,FALSE)</f>
        <v/>
      </c>
      <c r="D20" s="231" t="n"/>
      <c r="E20" s="239" t="n"/>
      <c r="F20" s="300" t="n">
        <v>0.001037738826071943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57" t="n"/>
    </row>
    <row r="21" ht="3.95" customHeight="1">
      <c r="A21" s="57" t="n"/>
      <c r="B21" s="60" t="n"/>
      <c r="C21" s="61" t="n"/>
      <c r="D21" s="61" t="n"/>
      <c r="E21" s="61" t="n"/>
      <c r="F21" s="75" t="n"/>
      <c r="G21" s="75" t="n"/>
      <c r="H21" s="75" t="n"/>
      <c r="I21" s="61" t="n"/>
      <c r="J21" s="96" t="n"/>
      <c r="K21" s="76" t="n"/>
      <c r="L21" s="76" t="n"/>
      <c r="M21" s="75" t="n"/>
      <c r="N21" s="75" t="n"/>
      <c r="O21" s="61" t="n"/>
      <c r="P21" s="61" t="n"/>
      <c r="Q21" s="61" t="n"/>
      <c r="R21" s="61" t="n"/>
      <c r="S21" s="61" t="n"/>
      <c r="T21" s="61" t="n"/>
      <c r="U21" s="65" t="n"/>
      <c r="V21" s="57" t="n"/>
    </row>
    <row r="22" ht="24.95" customHeight="1">
      <c r="A22" s="57" t="n"/>
      <c r="B22" s="60" t="n"/>
      <c r="C22" s="72" t="n"/>
      <c r="D22" s="72" t="n"/>
      <c r="E22" s="72" t="n"/>
      <c r="F22" s="193" t="n"/>
      <c r="G22" s="193" t="n"/>
      <c r="H22" s="75" t="n"/>
      <c r="I22" s="61" t="n"/>
      <c r="J22" s="238" t="inlineStr">
        <is>
          <t>Last Close</t>
        </is>
      </c>
      <c r="K22" s="97" t="n"/>
      <c r="L22" s="297">
        <f>$S$10</f>
        <v/>
      </c>
      <c r="M22" s="263" t="n">
        <v>529.7999877929688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57" t="n"/>
    </row>
    <row r="23" ht="3.95" customHeight="1">
      <c r="A23" s="57" t="n"/>
      <c r="B23" s="60" t="n"/>
      <c r="C23" s="72" t="n"/>
      <c r="D23" s="72" t="n"/>
      <c r="E23" s="72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57" t="n"/>
    </row>
    <row r="24" ht="24.95" customHeight="1">
      <c r="A24" s="57" t="n"/>
      <c r="B24" s="60" t="n"/>
      <c r="C24" s="72" t="n"/>
      <c r="D24" s="72" t="n"/>
      <c r="E24" s="72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57" t="n"/>
    </row>
    <row r="25" ht="3.95" customHeight="1">
      <c r="A25" s="57" t="n"/>
      <c r="B25" s="60" t="n"/>
      <c r="C25" s="72" t="n"/>
      <c r="D25" s="72" t="n"/>
      <c r="E25" s="72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57" t="n"/>
    </row>
    <row r="26" ht="24.95" customHeight="1">
      <c r="A26" s="57" t="n"/>
      <c r="B26" s="60" t="n"/>
      <c r="C26" s="86" t="inlineStr">
        <is>
          <t>No. of Shares Outstanding</t>
        </is>
      </c>
      <c r="D26" s="97" t="n"/>
      <c r="E26" s="87" t="n"/>
      <c r="F26" s="304" t="n">
        <v>371.621465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0.0531504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57" t="n"/>
    </row>
    <row r="27" ht="8.1" customHeight="1">
      <c r="A27" s="57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57" t="n"/>
    </row>
    <row r="28" ht="18" customHeight="1">
      <c r="A28" s="57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57" t="n"/>
    </row>
    <row r="29" ht="18" customHeight="1">
      <c r="A29" s="57" t="n"/>
      <c r="B29" s="60" t="n"/>
      <c r="C29" s="306">
        <f>VLOOKUP(C12,AD6:AI8,5,FALSE)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57" t="n"/>
    </row>
    <row r="30" ht="18" customHeight="1">
      <c r="A30" s="57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57" t="n"/>
    </row>
    <row r="31" ht="18" customHeight="1">
      <c r="A31" s="57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57" t="n"/>
    </row>
    <row r="32">
      <c r="A32" s="57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57" t="n"/>
    </row>
    <row r="33">
      <c r="A33" s="57" t="n"/>
      <c r="B33" s="60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61" t="n"/>
      <c r="U33" s="65" t="n"/>
      <c r="V33" s="57" t="n"/>
    </row>
    <row r="34">
      <c r="A34" s="57" t="n"/>
      <c r="B34" s="60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61" t="n"/>
      <c r="U34" s="65" t="n"/>
      <c r="V34" s="57" t="n"/>
    </row>
    <row r="35">
      <c r="A35" s="57" t="n"/>
      <c r="B35" s="60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61" t="n"/>
      <c r="U35" s="65" t="n"/>
      <c r="V35" s="57" t="n"/>
    </row>
    <row r="36">
      <c r="A36" s="57" t="n"/>
      <c r="B36" s="60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5" t="n"/>
      <c r="V36" s="57" t="n"/>
    </row>
    <row r="37">
      <c r="A37" s="57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57" t="n"/>
    </row>
    <row r="38">
      <c r="A38" s="57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57" t="n"/>
    </row>
    <row r="39">
      <c r="A39" s="57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57" t="n"/>
    </row>
    <row r="40">
      <c r="A40" s="57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57" t="n"/>
    </row>
    <row r="41">
      <c r="A41" s="57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57" t="n"/>
    </row>
    <row r="42">
      <c r="A42" s="57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57" t="n"/>
    </row>
    <row r="43">
      <c r="A43" s="57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57" t="n"/>
    </row>
    <row r="44">
      <c r="A44" s="57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57" t="n"/>
    </row>
    <row r="45">
      <c r="A45" s="57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57" t="n"/>
    </row>
    <row r="46">
      <c r="A46" s="57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57" t="n"/>
    </row>
    <row r="47" ht="13.5" customHeight="1" thickBot="1">
      <c r="A47" s="57" t="n"/>
      <c r="B47" s="60" t="n"/>
      <c r="C47" s="61" t="n"/>
      <c r="D47" s="61" t="n"/>
      <c r="E47" s="61" t="n"/>
      <c r="F47" s="61" t="n"/>
      <c r="G47" s="61" t="n"/>
      <c r="H47" s="61" t="n"/>
      <c r="I47" s="79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57" t="n"/>
    </row>
    <row r="48">
      <c r="A48" s="57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57" t="n"/>
    </row>
    <row r="49" ht="13.5" customHeight="1" thickBot="1">
      <c r="A49" s="57" t="n"/>
      <c r="B49" s="80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81" t="n"/>
      <c r="V49" s="57" t="n"/>
    </row>
    <row r="50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</row>
    <row r="51" ht="18" customHeight="1">
      <c r="A51" s="57" t="n"/>
      <c r="B51" s="114" t="n"/>
      <c r="C51" s="127" t="inlineStr">
        <is>
          <t>Discount Rate for US Stocks</t>
        </is>
      </c>
      <c r="D51" s="115" t="n"/>
      <c r="E51" s="115" t="n"/>
      <c r="F51" s="116" t="n"/>
      <c r="G51" s="116" t="n"/>
      <c r="H51" s="116" t="n"/>
      <c r="I51" s="114" t="n"/>
      <c r="J51" s="127" t="inlineStr">
        <is>
          <t>Discount Rate for China/HK Stocks</t>
        </is>
      </c>
      <c r="K51" s="116" t="n"/>
      <c r="L51" s="116" t="n"/>
      <c r="M51" s="116" t="n"/>
      <c r="N51" s="116" t="n"/>
      <c r="O51" s="57" t="n"/>
      <c r="P51" s="57" t="n"/>
      <c r="Q51" s="57" t="n"/>
      <c r="R51" s="57" t="n"/>
      <c r="S51" s="57" t="n"/>
      <c r="T51" s="57" t="n"/>
      <c r="U51" s="57" t="n"/>
      <c r="V51" s="57" t="n"/>
      <c r="AC51" s="185" t="n"/>
      <c r="AD51" s="185" t="n"/>
      <c r="AE51" s="185" t="n"/>
      <c r="AF51" s="185" t="n"/>
      <c r="AG51" s="185" t="n"/>
      <c r="AH51" s="185" t="n"/>
      <c r="AI51" s="185" t="n"/>
      <c r="AJ51" s="185" t="n"/>
    </row>
    <row r="52" ht="16.5" customHeight="1" thickBot="1">
      <c r="A52" s="57" t="n"/>
      <c r="B52" s="114" t="n"/>
      <c r="C52" s="117" t="n"/>
      <c r="D52" s="118" t="n"/>
      <c r="E52" s="119" t="n"/>
      <c r="F52" s="116" t="n"/>
      <c r="G52" s="116" t="n"/>
      <c r="H52" s="116" t="n"/>
      <c r="I52" s="114" t="n"/>
      <c r="J52" s="119" t="n"/>
      <c r="K52" s="119" t="n"/>
      <c r="L52" s="116" t="n"/>
      <c r="M52" s="116" t="n"/>
      <c r="N52" s="116" t="n"/>
      <c r="O52" s="57" t="n"/>
      <c r="P52" s="57" t="n"/>
      <c r="Q52" s="57" t="n"/>
      <c r="R52" s="57" t="n"/>
      <c r="S52" s="57" t="n"/>
      <c r="T52" s="57" t="n"/>
      <c r="U52" s="57" t="n"/>
      <c r="V52" s="57" t="n"/>
    </row>
    <row r="53" ht="25.5" customHeight="1" thickBot="1">
      <c r="A53" s="57" t="n"/>
      <c r="B53" s="114" t="n"/>
      <c r="C53" s="120" t="inlineStr">
        <is>
          <t>BETA</t>
        </is>
      </c>
      <c r="D53" s="121" t="n"/>
      <c r="E53" s="121" t="inlineStr">
        <is>
          <t>DISCOUNT RATE</t>
        </is>
      </c>
      <c r="F53" s="122" t="n"/>
      <c r="G53" s="116" t="n"/>
      <c r="H53" s="116" t="n"/>
      <c r="I53" s="114" t="n"/>
      <c r="J53" s="128" t="inlineStr">
        <is>
          <t>BETA</t>
        </is>
      </c>
      <c r="K53" s="129" t="n"/>
      <c r="L53" s="129" t="inlineStr">
        <is>
          <t>DISCOUNT RATE</t>
        </is>
      </c>
      <c r="M53" s="130" t="n"/>
      <c r="N53" s="116" t="n"/>
      <c r="O53" s="111" t="n"/>
      <c r="P53" s="111" t="n"/>
      <c r="Q53" s="111" t="n"/>
      <c r="R53" s="111" t="n"/>
      <c r="S53" s="111" t="n"/>
      <c r="T53" s="57" t="n"/>
      <c r="U53" s="57" t="n"/>
      <c r="V53" s="57" t="n"/>
    </row>
    <row r="54" ht="15" customFormat="1" customHeight="1" s="43">
      <c r="A54" s="52" t="n"/>
      <c r="B54" s="123" t="n"/>
      <c r="C54" s="142" t="inlineStr">
        <is>
          <t>Less than 0.80</t>
        </is>
      </c>
      <c r="D54" s="143" t="n"/>
      <c r="E54" s="308">
        <f>E64+0.8*E65</f>
        <v/>
      </c>
      <c r="F54" s="133" t="n"/>
      <c r="G54" s="124" t="n"/>
      <c r="H54" s="124" t="n"/>
      <c r="I54" s="123" t="n"/>
      <c r="J54" s="142" t="inlineStr">
        <is>
          <t>Less than 0.80</t>
        </is>
      </c>
      <c r="K54" s="151" t="n"/>
      <c r="L54" s="311">
        <f>L64+0.8*L65</f>
        <v/>
      </c>
      <c r="M54" s="133" t="n"/>
      <c r="N54" s="124" t="n"/>
      <c r="O54" s="113" t="n"/>
      <c r="P54" s="113" t="n"/>
      <c r="Q54" s="113" t="n"/>
      <c r="R54" s="113" t="n"/>
      <c r="S54" s="113" t="n"/>
      <c r="T54" s="52" t="n"/>
      <c r="U54" s="52" t="n"/>
      <c r="V54" s="52" t="n"/>
      <c r="AC54" s="186" t="n"/>
      <c r="AD54" s="186" t="n"/>
      <c r="AE54" s="186" t="n"/>
      <c r="AF54" s="186" t="n"/>
      <c r="AG54" s="186" t="n"/>
      <c r="AH54" s="186" t="n"/>
      <c r="AI54" s="186" t="n"/>
      <c r="AJ54" s="186" t="n"/>
    </row>
    <row r="55" ht="15" customFormat="1" customHeight="1" s="43">
      <c r="A55" s="52" t="n"/>
      <c r="B55" s="123" t="n"/>
      <c r="C55" s="145" t="n">
        <v>1</v>
      </c>
      <c r="D55" s="146" t="n"/>
      <c r="E55" s="307">
        <f>E64+C55*E65</f>
        <v/>
      </c>
      <c r="F55" s="136" t="n"/>
      <c r="G55" s="124" t="n"/>
      <c r="H55" s="124" t="n"/>
      <c r="I55" s="123" t="n"/>
      <c r="J55" s="145" t="n">
        <v>1</v>
      </c>
      <c r="K55" s="153" t="n"/>
      <c r="L55" s="312">
        <f>L64+J55*L65</f>
        <v/>
      </c>
      <c r="M55" s="136" t="n"/>
      <c r="N55" s="124" t="n"/>
      <c r="O55" s="113" t="n"/>
      <c r="P55" s="113" t="n"/>
      <c r="Q55" s="113" t="n"/>
      <c r="R55" s="113" t="n"/>
      <c r="S55" s="113" t="n"/>
      <c r="T55" s="52" t="n"/>
      <c r="U55" s="52" t="n"/>
      <c r="V55" s="52" t="n"/>
      <c r="AC55" s="186" t="n"/>
      <c r="AD55" s="186" t="n"/>
      <c r="AE55" s="186" t="n"/>
      <c r="AF55" s="186" t="n"/>
      <c r="AG55" s="186" t="n"/>
      <c r="AH55" s="186" t="n"/>
      <c r="AI55" s="186" t="n"/>
      <c r="AJ55" s="186" t="n"/>
    </row>
    <row r="56" ht="15" customFormat="1" customHeight="1" s="43">
      <c r="A56" s="52" t="n"/>
      <c r="B56" s="123" t="n"/>
      <c r="C56" s="145" t="n">
        <v>1.1</v>
      </c>
      <c r="D56" s="146" t="n"/>
      <c r="E56" s="307">
        <f>E64+C56*E65</f>
        <v/>
      </c>
      <c r="F56" s="136" t="n"/>
      <c r="G56" s="124" t="n"/>
      <c r="H56" s="124" t="n"/>
      <c r="I56" s="123" t="n"/>
      <c r="J56" s="145" t="n">
        <v>1.1</v>
      </c>
      <c r="K56" s="153" t="n"/>
      <c r="L56" s="312">
        <f>L64+J56*L65</f>
        <v/>
      </c>
      <c r="M56" s="136" t="n"/>
      <c r="N56" s="124" t="n"/>
      <c r="O56" s="113" t="n"/>
      <c r="P56" s="113" t="n"/>
      <c r="Q56" s="113" t="n"/>
      <c r="R56" s="113" t="n"/>
      <c r="S56" s="113" t="n"/>
      <c r="T56" s="52" t="n"/>
      <c r="U56" s="52" t="n"/>
      <c r="V56" s="52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</row>
    <row r="57" ht="15" customFormat="1" customHeight="1" s="43">
      <c r="A57" s="52" t="n"/>
      <c r="B57" s="123" t="n"/>
      <c r="C57" s="145" t="n">
        <v>1.2</v>
      </c>
      <c r="D57" s="146" t="n"/>
      <c r="E57" s="307">
        <f>E64+C57*E65</f>
        <v/>
      </c>
      <c r="F57" s="136" t="n"/>
      <c r="G57" s="124" t="n"/>
      <c r="H57" s="124" t="n"/>
      <c r="I57" s="123" t="n"/>
      <c r="J57" s="145" t="n">
        <v>1.2</v>
      </c>
      <c r="K57" s="153" t="n"/>
      <c r="L57" s="312">
        <f>L64+J57*L65</f>
        <v/>
      </c>
      <c r="M57" s="136" t="n"/>
      <c r="N57" s="124" t="n"/>
      <c r="O57" s="113" t="n"/>
      <c r="P57" s="113" t="n"/>
      <c r="Q57" s="113" t="n"/>
      <c r="R57" s="113" t="n"/>
      <c r="S57" s="113" t="n"/>
      <c r="T57" s="52" t="n"/>
      <c r="U57" s="52" t="n"/>
      <c r="V57" s="52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</row>
    <row r="58" ht="15" customFormat="1" customHeight="1" s="43">
      <c r="A58" s="52" t="n"/>
      <c r="B58" s="123" t="n"/>
      <c r="C58" s="145" t="n">
        <v>1.3</v>
      </c>
      <c r="D58" s="146" t="n"/>
      <c r="E58" s="307">
        <f>E64+C58*E65</f>
        <v/>
      </c>
      <c r="F58" s="136" t="n"/>
      <c r="G58" s="124" t="n"/>
      <c r="H58" s="124" t="n"/>
      <c r="I58" s="123" t="n"/>
      <c r="J58" s="145" t="n">
        <v>1.3</v>
      </c>
      <c r="K58" s="153" t="n"/>
      <c r="L58" s="312">
        <f>L64+J58*L65</f>
        <v/>
      </c>
      <c r="M58" s="136" t="n"/>
      <c r="N58" s="124" t="n"/>
      <c r="O58" s="113" t="n"/>
      <c r="P58" s="113" t="n"/>
      <c r="Q58" s="113" t="n"/>
      <c r="R58" s="113" t="n"/>
      <c r="S58" s="113" t="n"/>
      <c r="T58" s="52" t="n"/>
      <c r="U58" s="52" t="n"/>
      <c r="V58" s="52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</row>
    <row r="59" ht="15" customFormat="1" customHeight="1" s="43">
      <c r="A59" s="52" t="n"/>
      <c r="B59" s="123" t="n"/>
      <c r="C59" s="145" t="n">
        <v>1.4</v>
      </c>
      <c r="D59" s="146" t="n"/>
      <c r="E59" s="307">
        <f>E64+C59*E65</f>
        <v/>
      </c>
      <c r="F59" s="136" t="n"/>
      <c r="G59" s="124" t="n"/>
      <c r="H59" s="124" t="n"/>
      <c r="I59" s="123" t="n"/>
      <c r="J59" s="145" t="n">
        <v>1.4</v>
      </c>
      <c r="K59" s="153" t="n"/>
      <c r="L59" s="312">
        <f>L64+J59*L65</f>
        <v/>
      </c>
      <c r="M59" s="136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2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</row>
    <row r="60" ht="15" customFormat="1" customHeight="1" s="43">
      <c r="A60" s="52" t="n"/>
      <c r="B60" s="123" t="n"/>
      <c r="C60" s="145" t="n">
        <v>1.5</v>
      </c>
      <c r="D60" s="146" t="n"/>
      <c r="E60" s="307">
        <f>E64+C60*E65</f>
        <v/>
      </c>
      <c r="F60" s="136" t="n"/>
      <c r="G60" s="124" t="n"/>
      <c r="H60" s="124" t="n"/>
      <c r="I60" s="123" t="n"/>
      <c r="J60" s="145" t="n">
        <v>1.5</v>
      </c>
      <c r="K60" s="153" t="n"/>
      <c r="L60" s="312">
        <f>L64+J60*L65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2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</row>
    <row r="61" ht="15" customFormat="1" customHeight="1" s="43" thickBot="1">
      <c r="A61" s="52" t="n"/>
      <c r="B61" s="123" t="n"/>
      <c r="C61" s="148" t="inlineStr">
        <is>
          <t>More than 1.6</t>
        </is>
      </c>
      <c r="D61" s="149" t="n"/>
      <c r="E61" s="309">
        <f>E64+1.6*E65</f>
        <v/>
      </c>
      <c r="F61" s="139" t="n"/>
      <c r="G61" s="124" t="n"/>
      <c r="H61" s="124" t="n"/>
      <c r="I61" s="123" t="n"/>
      <c r="J61" s="148" t="inlineStr">
        <is>
          <t>More than 1.6</t>
        </is>
      </c>
      <c r="K61" s="155" t="n"/>
      <c r="L61" s="313">
        <f>L64+1.6*L65</f>
        <v/>
      </c>
      <c r="M61" s="139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86" t="n"/>
      <c r="AD61" s="186" t="n"/>
      <c r="AE61" s="186" t="n"/>
      <c r="AF61" s="186" t="n"/>
      <c r="AG61" s="186" t="n"/>
      <c r="AH61" s="186" t="n"/>
      <c r="AI61" s="186" t="n"/>
      <c r="AJ61" s="186" t="n"/>
    </row>
    <row r="62" ht="15.75" customHeight="1">
      <c r="A62" s="57" t="n"/>
      <c r="B62" s="114" t="n"/>
      <c r="C62" s="115" t="n"/>
      <c r="D62" s="115" t="n"/>
      <c r="E62" s="115" t="n"/>
      <c r="F62" s="115" t="n"/>
      <c r="G62" s="116" t="n"/>
      <c r="H62" s="116" t="n"/>
      <c r="I62" s="114" t="n"/>
      <c r="J62" s="116" t="n"/>
      <c r="K62" s="116" t="n"/>
      <c r="L62" s="116" t="n"/>
      <c r="M62" s="116" t="n"/>
      <c r="N62" s="116" t="n"/>
      <c r="O62" s="111" t="n"/>
      <c r="P62" s="111" t="n"/>
      <c r="Q62" s="111" t="n"/>
      <c r="R62" s="111" t="n"/>
      <c r="S62" s="111" t="n"/>
      <c r="T62" s="57" t="n"/>
      <c r="U62" s="57" t="n"/>
      <c r="V62" s="57" t="n"/>
    </row>
    <row r="63" ht="20.1" customFormat="1" customHeight="1" s="166">
      <c r="A63" s="124" t="n"/>
      <c r="B63" s="125" t="n"/>
      <c r="C63" s="198" t="inlineStr">
        <is>
          <t>Discount Rate = Risk Free Rate + Beta x Market Risk Premium</t>
        </is>
      </c>
      <c r="D63" s="176" t="n"/>
      <c r="E63" s="176" t="n"/>
      <c r="F63" s="176" t="n"/>
      <c r="G63" s="199" t="n"/>
      <c r="H63" s="199" t="n"/>
      <c r="I63" s="198" t="n"/>
      <c r="J63" s="198" t="inlineStr">
        <is>
          <t>Discount Rate = Risk Free Rate + Beta x Market Risk Premium</t>
        </is>
      </c>
      <c r="K63" s="199" t="n"/>
      <c r="L63" s="199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</row>
    <row r="64" ht="20.1" customFormat="1" customHeight="1" s="167">
      <c r="A64" s="125" t="n"/>
      <c r="B64" s="125" t="n"/>
      <c r="C64" s="208" t="n"/>
      <c r="D64" s="201" t="inlineStr">
        <is>
          <t>Risk Free Rate =</t>
        </is>
      </c>
      <c r="E64" s="202" t="n">
        <v>0.016</v>
      </c>
      <c r="F64" s="208" t="n"/>
      <c r="G64" s="208" t="n"/>
      <c r="H64" s="208" t="n"/>
      <c r="I64" s="208" t="n"/>
      <c r="J64" s="208" t="n"/>
      <c r="K64" s="201" t="inlineStr">
        <is>
          <t>Risk Free Rate =</t>
        </is>
      </c>
      <c r="L64" s="202" t="n">
        <v>0.013</v>
      </c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</row>
    <row r="65" ht="20.1" customFormat="1" customHeight="1" s="167">
      <c r="A65" s="125" t="n"/>
      <c r="B65" s="125" t="n"/>
      <c r="C65" s="208" t="n"/>
      <c r="D65" s="201" t="inlineStr">
        <is>
          <t>Average market risk premium =</t>
        </is>
      </c>
      <c r="E65" s="202" t="n">
        <v>0.0428</v>
      </c>
      <c r="F65" s="208" t="n"/>
      <c r="G65" s="208" t="n"/>
      <c r="H65" s="208" t="n"/>
      <c r="I65" s="208" t="n"/>
      <c r="J65" s="208" t="n"/>
      <c r="K65" s="201" t="inlineStr">
        <is>
          <t>Average market risk premium =</t>
        </is>
      </c>
      <c r="L65" s="202" t="n">
        <v>0.066</v>
      </c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</row>
    <row r="66" ht="15.75" customHeight="1">
      <c r="A66" s="57" t="n"/>
      <c r="B66" s="114" t="n"/>
      <c r="C66" s="115" t="n"/>
      <c r="D66" s="115" t="n"/>
      <c r="E66" s="115" t="n"/>
      <c r="F66" s="116" t="n"/>
      <c r="G66" s="116" t="n"/>
      <c r="H66" s="116" t="n"/>
      <c r="I66" s="116" t="n"/>
      <c r="J66" s="116" t="n"/>
      <c r="K66" s="116" t="n"/>
      <c r="L66" s="116" t="n"/>
      <c r="M66" s="116" t="n"/>
      <c r="N66" s="116" t="n"/>
      <c r="O66" s="111" t="n"/>
      <c r="P66" s="111" t="n"/>
      <c r="Q66" s="111" t="n"/>
      <c r="R66" s="111" t="n"/>
      <c r="S66" s="111" t="n"/>
      <c r="T66" s="57" t="n"/>
      <c r="U66" s="57" t="n"/>
      <c r="V66" s="57" t="n"/>
      <c r="AC66" s="169" t="n"/>
      <c r="AD66" s="169" t="n"/>
      <c r="AE66" s="169" t="n"/>
      <c r="AF66" s="169" t="n"/>
      <c r="AG66" s="169" t="n"/>
      <c r="AH66" s="169" t="n"/>
      <c r="AI66" s="169" t="n"/>
      <c r="AJ66" s="169" t="n"/>
    </row>
    <row r="67" ht="15.75" customFormat="1" customHeight="1" s="169">
      <c r="A67" s="116" t="n"/>
      <c r="B67" s="116" t="n"/>
      <c r="C67" s="115" t="inlineStr">
        <is>
          <t>Source:</t>
        </is>
      </c>
      <c r="D67" s="115" t="n"/>
      <c r="E67" s="115" t="n"/>
      <c r="F67" s="116" t="n"/>
      <c r="G67" s="116" t="n"/>
      <c r="H67" s="116" t="n"/>
      <c r="I67" s="116" t="n"/>
      <c r="J67" s="115" t="inlineStr">
        <is>
          <t>Source:</t>
        </is>
      </c>
      <c r="K67" s="116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</row>
    <row r="68" customFormat="1" s="168">
      <c r="A68" s="114" t="n"/>
      <c r="B68" s="114" t="n"/>
      <c r="C68" s="170" t="inlineStr">
        <is>
          <t>http://www.market-risk-premia.com/us.html</t>
        </is>
      </c>
      <c r="D68" s="170" t="n"/>
      <c r="E68" s="171" t="n"/>
      <c r="F68" s="114" t="n"/>
      <c r="G68" s="114" t="n"/>
      <c r="H68" s="114" t="n"/>
      <c r="I68" s="114" t="n"/>
      <c r="J68" s="170" t="inlineStr">
        <is>
          <t>http://www.market-risk-premia.com/hk.html</t>
        </is>
      </c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</row>
    <row r="69">
      <c r="A69" s="57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57" t="n"/>
      <c r="P69" s="57" t="n"/>
      <c r="Q69" s="57" t="n"/>
      <c r="R69" s="57" t="n"/>
      <c r="S69" s="57" t="n"/>
      <c r="T69" s="57" t="n"/>
      <c r="U69" s="57" t="n"/>
      <c r="V69" s="57" t="n"/>
    </row>
    <row r="70">
      <c r="A70" s="57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57" t="n"/>
      <c r="P70" s="57" t="n"/>
      <c r="Q70" s="57" t="n"/>
      <c r="R70" s="57" t="n"/>
      <c r="S70" s="57" t="n"/>
      <c r="T70" s="57" t="n"/>
      <c r="U70" s="57" t="n"/>
      <c r="V70" s="57" t="n"/>
    </row>
    <row r="71" ht="18" customHeight="1">
      <c r="A71" s="57" t="n"/>
      <c r="B71" s="114" t="n"/>
      <c r="C71" s="127" t="inlineStr">
        <is>
          <t>Currency Data</t>
        </is>
      </c>
      <c r="D71" s="115" t="n"/>
      <c r="E71" s="115" t="n"/>
      <c r="F71" s="114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57" t="n"/>
      <c r="P71" s="57" t="n"/>
      <c r="Q71" s="57" t="n"/>
      <c r="R71" s="57" t="n"/>
      <c r="S71" s="57" t="n"/>
      <c r="T71" s="57" t="n"/>
      <c r="U71" s="57" t="n"/>
      <c r="V71" s="57" t="n"/>
    </row>
    <row r="72" ht="15.75" customHeight="1" thickBot="1">
      <c r="A72" s="57" t="n"/>
      <c r="B72" s="114" t="n"/>
      <c r="C72" s="116" t="n"/>
      <c r="D72" s="116" t="n"/>
      <c r="E72" s="116" t="n"/>
      <c r="F72" s="114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57" t="n"/>
      <c r="P72" s="57" t="n"/>
      <c r="Q72" s="57" t="n"/>
      <c r="R72" s="57" t="n"/>
      <c r="S72" s="57" t="n"/>
      <c r="T72" s="57" t="n"/>
      <c r="U72" s="57" t="n"/>
      <c r="V72" s="57" t="n"/>
    </row>
    <row r="73" ht="25.5" customHeight="1" thickBot="1">
      <c r="A73" s="57" t="n"/>
      <c r="B73" s="114" t="n"/>
      <c r="C73" s="128" t="inlineStr">
        <is>
          <t>CURRENCY</t>
        </is>
      </c>
      <c r="D73" s="129" t="n"/>
      <c r="E73" s="131" t="inlineStr">
        <is>
          <t>SYMBOL</t>
        </is>
      </c>
      <c r="F73" s="114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57" t="n"/>
      <c r="P73" s="57" t="n"/>
      <c r="Q73" s="57" t="n"/>
      <c r="R73" s="57" t="n"/>
      <c r="S73" s="57" t="n"/>
      <c r="T73" s="57" t="n"/>
      <c r="U73" s="57" t="n"/>
      <c r="V73" s="57" t="n"/>
    </row>
    <row r="74" ht="16.5" customFormat="1" customHeight="1" s="43">
      <c r="A74" s="52" t="n"/>
      <c r="B74" s="123" t="n"/>
      <c r="C74" s="132" t="inlineStr">
        <is>
          <t>Australian Dollar</t>
        </is>
      </c>
      <c r="D74" s="133" t="n"/>
      <c r="E74" s="134" t="inlineStr">
        <is>
          <t>AUD$</t>
        </is>
      </c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52" t="n"/>
      <c r="P74" s="52" t="n"/>
      <c r="Q74" s="52" t="n"/>
      <c r="R74" s="52" t="n"/>
      <c r="S74" s="52" t="n"/>
      <c r="T74" s="52" t="n"/>
      <c r="U74" s="52" t="n"/>
      <c r="V74" s="52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</row>
    <row r="75" ht="16.5" customFormat="1" customHeight="1" s="43">
      <c r="A75" s="52" t="n"/>
      <c r="B75" s="123" t="n"/>
      <c r="C75" s="135" t="inlineStr">
        <is>
          <t>British Pound Sterling</t>
        </is>
      </c>
      <c r="D75" s="136" t="n"/>
      <c r="E75" s="137" t="inlineStr">
        <is>
          <t>GBP$</t>
        </is>
      </c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52" t="n"/>
      <c r="P75" s="52" t="n"/>
      <c r="Q75" s="52" t="n"/>
      <c r="R75" s="52" t="n"/>
      <c r="S75" s="52" t="n"/>
      <c r="T75" s="52" t="n"/>
      <c r="U75" s="52" t="n"/>
      <c r="V75" s="52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</row>
    <row r="76" ht="16.5" customFormat="1" customHeight="1" s="43">
      <c r="A76" s="52" t="n"/>
      <c r="B76" s="123" t="n"/>
      <c r="C76" s="135" t="inlineStr">
        <is>
          <t>Chinese Ren Min Bi</t>
        </is>
      </c>
      <c r="D76" s="136" t="n"/>
      <c r="E76" s="137" t="inlineStr">
        <is>
          <t>RMB$</t>
        </is>
      </c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52" t="n"/>
      <c r="P76" s="52" t="n"/>
      <c r="Q76" s="52" t="n"/>
      <c r="R76" s="52" t="n"/>
      <c r="S76" s="52" t="n"/>
      <c r="T76" s="52" t="n"/>
      <c r="U76" s="52" t="n"/>
      <c r="V76" s="52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</row>
    <row r="77" ht="16.5" customFormat="1" customHeight="1" s="43">
      <c r="A77" s="52" t="n"/>
      <c r="B77" s="123" t="n"/>
      <c r="C77" s="135" t="inlineStr">
        <is>
          <t>Euro Dollar</t>
        </is>
      </c>
      <c r="D77" s="136" t="n"/>
      <c r="E77" s="137" t="inlineStr">
        <is>
          <t>EUR$</t>
        </is>
      </c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52" t="n"/>
      <c r="P77" s="52" t="n"/>
      <c r="Q77" s="52" t="n"/>
      <c r="R77" s="52" t="n"/>
      <c r="S77" s="52" t="n"/>
      <c r="T77" s="52" t="n"/>
      <c r="U77" s="52" t="n"/>
      <c r="V77" s="52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</row>
    <row r="78" ht="16.5" customFormat="1" customHeight="1" s="43">
      <c r="A78" s="52" t="n"/>
      <c r="B78" s="123" t="n"/>
      <c r="C78" s="135" t="inlineStr">
        <is>
          <t>Hong Kong Dollar</t>
        </is>
      </c>
      <c r="D78" s="136" t="n"/>
      <c r="E78" s="137" t="inlineStr">
        <is>
          <t>HKD$</t>
        </is>
      </c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52" t="n"/>
      <c r="P78" s="52" t="n"/>
      <c r="Q78" s="52" t="n"/>
      <c r="R78" s="52" t="n"/>
      <c r="S78" s="52" t="n"/>
      <c r="T78" s="52" t="n"/>
      <c r="U78" s="52" t="n"/>
      <c r="V78" s="52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</row>
    <row r="79" ht="16.5" customFormat="1" customHeight="1" s="43">
      <c r="A79" s="52" t="n"/>
      <c r="B79" s="123" t="n"/>
      <c r="C79" s="135" t="inlineStr">
        <is>
          <t>Indonesian Rupiah</t>
        </is>
      </c>
      <c r="D79" s="136" t="n"/>
      <c r="E79" s="137" t="inlineStr">
        <is>
          <t>IDR$</t>
        </is>
      </c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52" t="n"/>
      <c r="P79" s="52" t="n"/>
      <c r="Q79" s="52" t="n"/>
      <c r="R79" s="52" t="n"/>
      <c r="S79" s="52" t="n"/>
      <c r="T79" s="52" t="n"/>
      <c r="U79" s="52" t="n"/>
      <c r="V79" s="52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</row>
    <row r="80" ht="16.5" customFormat="1" customHeight="1" s="43">
      <c r="A80" s="52" t="n"/>
      <c r="B80" s="123" t="n"/>
      <c r="C80" s="135" t="inlineStr">
        <is>
          <t>Malaysian Ringgit</t>
        </is>
      </c>
      <c r="D80" s="136" t="n"/>
      <c r="E80" s="137" t="inlineStr">
        <is>
          <t>RM$</t>
        </is>
      </c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52" t="n"/>
      <c r="P80" s="52" t="n"/>
      <c r="Q80" s="52" t="n"/>
      <c r="R80" s="52" t="n"/>
      <c r="S80" s="52" t="n"/>
      <c r="T80" s="52" t="n"/>
      <c r="U80" s="52" t="n"/>
      <c r="V80" s="52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</row>
    <row r="81" ht="16.5" customFormat="1" customHeight="1" s="43">
      <c r="A81" s="52" t="n"/>
      <c r="B81" s="123" t="n"/>
      <c r="C81" s="135" t="inlineStr">
        <is>
          <t>Singapore Dollar</t>
        </is>
      </c>
      <c r="D81" s="136" t="n"/>
      <c r="E81" s="137" t="inlineStr">
        <is>
          <t>SGD$</t>
        </is>
      </c>
      <c r="F81" s="123" t="n"/>
      <c r="G81" s="123" t="n"/>
      <c r="H81" s="123" t="n"/>
      <c r="I81" s="123" t="n"/>
      <c r="J81" s="123" t="n"/>
      <c r="K81" s="123" t="n"/>
      <c r="L81" s="123" t="n"/>
      <c r="M81" s="123" t="n"/>
      <c r="N81" s="123" t="n"/>
      <c r="O81" s="52" t="n"/>
      <c r="P81" s="52" t="n"/>
      <c r="Q81" s="52" t="n"/>
      <c r="R81" s="52" t="n"/>
      <c r="S81" s="52" t="n"/>
      <c r="T81" s="52" t="n"/>
      <c r="U81" s="52" t="n"/>
      <c r="V81" s="52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</row>
    <row r="82" ht="16.5" customFormat="1" customHeight="1" s="43" thickBot="1">
      <c r="A82" s="52" t="n"/>
      <c r="B82" s="123" t="n"/>
      <c r="C82" s="138" t="inlineStr">
        <is>
          <t>US Dollar</t>
        </is>
      </c>
      <c r="D82" s="139" t="n"/>
      <c r="E82" s="140" t="inlineStr">
        <is>
          <t>USD$</t>
        </is>
      </c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52" t="n"/>
      <c r="P82" s="52" t="n"/>
      <c r="Q82" s="52" t="n"/>
      <c r="R82" s="52" t="n"/>
      <c r="S82" s="52" t="n"/>
      <c r="T82" s="52" t="n"/>
      <c r="U82" s="52" t="n"/>
      <c r="V82" s="52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</row>
    <row r="84">
      <c r="A84" s="51" t="inlineStr">
        <is>
          <t xml:space="preserve">        ©️ 2020 Piranha Ltd. All rights reserved. </t>
        </is>
      </c>
      <c r="B84" s="226" t="n"/>
      <c r="N84" s="215" t="inlineStr">
        <is>
          <t xml:space="preserve">©️ 2020 Piranha Ltd. All rights reserved.    </t>
        </is>
      </c>
      <c r="V84" s="57" t="n"/>
    </row>
    <row r="85">
      <c r="A85" s="52" t="n"/>
      <c r="V85" s="57" t="n"/>
    </row>
    <row r="86">
      <c r="A86" s="52" t="n"/>
      <c r="V86" s="57" t="n"/>
    </row>
    <row r="87">
      <c r="A87" s="52" t="n"/>
      <c r="V87" s="57" t="n"/>
    </row>
    <row r="88">
      <c r="A88" s="52" t="n"/>
      <c r="V88" s="57" t="n"/>
    </row>
    <row r="89">
      <c r="A89" s="52" t="n"/>
      <c r="V89" s="57" t="n"/>
    </row>
    <row r="90">
      <c r="A90" s="52" t="n"/>
      <c r="V90" s="57" t="n"/>
    </row>
  </sheetData>
  <mergeCells count="28">
    <mergeCell ref="N84:U90"/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N12:O12"/>
    <mergeCell ref="M20:N20"/>
    <mergeCell ref="L24:M24"/>
    <mergeCell ref="Q10:R10"/>
    <mergeCell ref="N18:O18"/>
    <mergeCell ref="B2:U2"/>
    <mergeCell ref="N8:O8"/>
    <mergeCell ref="N14:O14"/>
    <mergeCell ref="M22:N22"/>
    <mergeCell ref="L26:M26"/>
    <mergeCell ref="J18:L18"/>
    <mergeCell ref="N10:O10"/>
    <mergeCell ref="G14:H14"/>
    <mergeCell ref="B84:M90"/>
    <mergeCell ref="F10:H10"/>
    <mergeCell ref="G16:H16"/>
    <mergeCell ref="C29:E29"/>
  </mergeCells>
  <dataValidations count="2">
    <dataValidation sqref="C12:E12" showDropDown="0" showInputMessage="1" showErrorMessage="1" allowBlank="1" type="list">
      <formula1>$AD$6:$AD$8</formula1>
    </dataValidation>
    <dataValidation sqref="S8 S10" showDropDown="0" showInputMessage="1" showErrorMessage="1" allowBlank="1" type="list">
      <formula1>$E$74:$E$82</formula1>
    </dataValidation>
  </dataValidations>
  <hyperlinks>
    <hyperlink xmlns:r="http://schemas.openxmlformats.org/officeDocument/2006/relationships" ref="C68" r:id="rId1"/>
    <hyperlink xmlns:r="http://schemas.openxmlformats.org/officeDocument/2006/relationships" ref="J68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K18"/>
  <sheetViews>
    <sheetView workbookViewId="0">
      <selection activeCell="B23" sqref="B23"/>
    </sheetView>
  </sheetViews>
  <sheetFormatPr baseColWidth="8" defaultColWidth="8.625" defaultRowHeight="12.75"/>
  <cols>
    <col width="20.875" customWidth="1" style="10" min="1" max="1"/>
    <col width="10.125" customWidth="1" style="9" min="2" max="11"/>
    <col width="8.625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19" t="inlineStr">
        <is>
          <t>Intrinsic Value Calculator (Discounted Earnings Per Share Method 10 years)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</row>
    <row r="5">
      <c r="D5" s="9" t="inlineStr">
        <is>
          <t>( Be consisent with the denominations used. Usually $)</t>
        </is>
      </c>
    </row>
    <row r="7" ht="15" customHeight="1">
      <c r="A7" s="20" t="inlineStr">
        <is>
          <t>EPS (current)</t>
        </is>
      </c>
      <c r="B7" s="5">
        <f>#REF!</f>
        <v/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 ht="15" customHeight="1">
      <c r="A8" s="20" t="inlineStr">
        <is>
          <t xml:space="preserve">EPS growth rate </t>
        </is>
      </c>
      <c r="B8" s="6">
        <f>#REF!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 ht="15" customHeight="1">
      <c r="A9" s="20" t="inlineStr">
        <is>
          <t>Discount Rate</t>
        </is>
      </c>
      <c r="B9" s="6">
        <f>#REF!</f>
        <v/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 ht="15" customFormat="1" customHeight="1" s="16">
      <c r="A10" s="15" t="inlineStr">
        <is>
          <t>Year</t>
        </is>
      </c>
      <c r="B10" s="15">
        <f>#REF!+1</f>
        <v/>
      </c>
      <c r="C10" s="15">
        <f>B10+1</f>
        <v/>
      </c>
      <c r="D10" s="15">
        <f>C10+1</f>
        <v/>
      </c>
      <c r="E10" s="15">
        <f>D10+1</f>
        <v/>
      </c>
      <c r="F10" s="15">
        <f>E10+1</f>
        <v/>
      </c>
      <c r="G10" s="15">
        <f>F10+1</f>
        <v/>
      </c>
      <c r="H10" s="15">
        <f>G10+1</f>
        <v/>
      </c>
      <c r="I10" s="15">
        <f>H10+1</f>
        <v/>
      </c>
      <c r="J10" s="15">
        <f>I10+1</f>
        <v/>
      </c>
      <c r="K10" s="15">
        <f>J10+1</f>
        <v/>
      </c>
    </row>
    <row r="11" ht="15" customHeight="1">
      <c r="A11" s="17" t="inlineStr">
        <is>
          <t>EPS (Projected)</t>
        </is>
      </c>
      <c r="B11" s="21">
        <f>B7*(1+B8)</f>
        <v/>
      </c>
      <c r="C11" s="21">
        <f>B11*(1+B8)</f>
        <v/>
      </c>
      <c r="D11" s="21">
        <f>C11*(1+B8)</f>
        <v/>
      </c>
      <c r="E11" s="21">
        <f>D11*(1+B8)</f>
        <v/>
      </c>
      <c r="F11" s="21">
        <f>E11*(1+B8)</f>
        <v/>
      </c>
      <c r="G11" s="21">
        <f>F11*(1+B8)</f>
        <v/>
      </c>
      <c r="H11" s="21">
        <f>G11*(1+B8)</f>
        <v/>
      </c>
      <c r="I11" s="21">
        <f>H11*(1+B8)</f>
        <v/>
      </c>
      <c r="J11" s="21">
        <f>I11*(1+B8)</f>
        <v/>
      </c>
      <c r="K11" s="21">
        <f>J11*(1+B8)</f>
        <v/>
      </c>
    </row>
    <row r="12" ht="15" customHeight="1">
      <c r="A12" s="22" t="inlineStr">
        <is>
          <t>Discount Factor</t>
        </is>
      </c>
      <c r="B12" s="23">
        <f>1/(1+$B$9)</f>
        <v/>
      </c>
      <c r="C12" s="23">
        <f>B12/(1+$B$9)</f>
        <v/>
      </c>
      <c r="D12" s="23">
        <f>C12/(1+$B$9)</f>
        <v/>
      </c>
      <c r="E12" s="23">
        <f>D12/(1+$B$9)</f>
        <v/>
      </c>
      <c r="F12" s="23">
        <f>E12/(1+$B$9)</f>
        <v/>
      </c>
      <c r="G12" s="23">
        <f>F12/(1+$B$9)</f>
        <v/>
      </c>
      <c r="H12" s="23">
        <f>G12/(1+$B$9)</f>
        <v/>
      </c>
      <c r="I12" s="23">
        <f>H12/(1+$B$9)</f>
        <v/>
      </c>
      <c r="J12" s="23">
        <f>I12/(1+$B$9)</f>
        <v/>
      </c>
      <c r="K12" s="23">
        <f>J12/(1+$B$9)</f>
        <v/>
      </c>
    </row>
    <row r="13" ht="15" customHeight="1">
      <c r="A13" s="24" t="inlineStr">
        <is>
          <t>Discounted Value</t>
        </is>
      </c>
      <c r="B13" s="25">
        <f>B11*B12</f>
        <v/>
      </c>
      <c r="C13" s="25">
        <f>C11*C12</f>
        <v/>
      </c>
      <c r="D13" s="25">
        <f>D11*D12</f>
        <v/>
      </c>
      <c r="E13" s="25">
        <f>E11*E12</f>
        <v/>
      </c>
      <c r="F13" s="25">
        <f>F11*F12</f>
        <v/>
      </c>
      <c r="G13" s="25">
        <f>G11*G12</f>
        <v/>
      </c>
      <c r="H13" s="25">
        <f>H11*H12</f>
        <v/>
      </c>
      <c r="I13" s="25">
        <f>I11*I12</f>
        <v/>
      </c>
      <c r="J13" s="25">
        <f>J11*J12</f>
        <v/>
      </c>
      <c r="K13" s="25">
        <f>K11*K12</f>
        <v/>
      </c>
    </row>
    <row r="14" ht="15" customHeight="1">
      <c r="A14" s="26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15" customHeight="1">
      <c r="A15" s="33" t="inlineStr">
        <is>
          <t>Intrinsic Value:</t>
        </is>
      </c>
      <c r="B15" s="34">
        <f>SUM(B13:K13)</f>
        <v/>
      </c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7" ht="15" customHeight="1">
      <c r="A17" s="27" t="inlineStr">
        <is>
          <t>Note: This assumes EPS growth rate remains constant throughout the 10 years</t>
        </is>
      </c>
      <c r="B17" s="28" t="n"/>
      <c r="C17" s="28" t="n"/>
      <c r="D17" s="28" t="n"/>
      <c r="E17" s="28" t="n"/>
      <c r="F17" s="28" t="n"/>
      <c r="G17" s="28" t="n"/>
      <c r="H17" s="28" t="n"/>
      <c r="I17" s="29" t="n"/>
    </row>
    <row r="18" ht="15" customHeight="1">
      <c r="A18" s="30" t="inlineStr">
        <is>
          <t>In certain cases, you may want to lower or increase the growth rate after a few years.</t>
        </is>
      </c>
      <c r="B18" s="31" t="n"/>
      <c r="C18" s="31" t="n"/>
      <c r="D18" s="31" t="n"/>
      <c r="E18" s="31" t="n"/>
      <c r="F18" s="31" t="n"/>
      <c r="G18" s="31" t="n"/>
      <c r="H18" s="31" t="n"/>
      <c r="I18" s="3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K23"/>
  <sheetViews>
    <sheetView workbookViewId="0">
      <selection activeCell="C26" sqref="C26"/>
    </sheetView>
  </sheetViews>
  <sheetFormatPr baseColWidth="8" defaultColWidth="11" defaultRowHeight="12.75"/>
  <cols>
    <col width="27" customWidth="1" style="10" min="1" max="1"/>
    <col width="14.5" customWidth="1" style="9" min="2" max="2"/>
    <col width="15.125" customWidth="1" style="9" min="3" max="3"/>
    <col width="13.875" customWidth="1" style="9" min="4" max="4"/>
    <col width="14" bestFit="1" customWidth="1" style="9" min="5" max="11"/>
    <col width="11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273" t="inlineStr">
        <is>
          <t>Intrinsic Value Calculator (Discounted Cash Flow Method 10 years)</t>
        </is>
      </c>
    </row>
    <row r="5">
      <c r="D5" s="9" t="inlineStr">
        <is>
          <t>(Be consistent with the denominations used. Usually Millions $)</t>
        </is>
      </c>
    </row>
    <row r="7" ht="15" customHeight="1">
      <c r="A7" s="314" t="inlineStr">
        <is>
          <t>Operating Cash Flow (current)</t>
        </is>
      </c>
      <c r="B7" s="291" t="n"/>
      <c r="C7" s="3">
        <f>#REF!</f>
        <v/>
      </c>
      <c r="D7" s="12" t="inlineStr">
        <is>
          <t>million</t>
        </is>
      </c>
      <c r="E7" s="13" t="n"/>
      <c r="F7" s="13" t="n"/>
      <c r="G7" s="13" t="n"/>
      <c r="H7" s="13" t="n"/>
      <c r="I7" s="13" t="n"/>
      <c r="J7" s="13" t="n"/>
      <c r="K7" s="13" t="n"/>
    </row>
    <row r="8" ht="15" customHeight="1">
      <c r="A8" s="314" t="inlineStr">
        <is>
          <t>Cash flow growth rate</t>
        </is>
      </c>
      <c r="B8" s="291" t="n"/>
      <c r="C8" s="4">
        <f>#REF!</f>
        <v/>
      </c>
      <c r="D8" s="1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315" t="inlineStr">
        <is>
          <t>Discount Rate</t>
        </is>
      </c>
      <c r="B9" s="316" t="n"/>
      <c r="C9" s="6">
        <f>#REF!</f>
        <v/>
      </c>
      <c r="D9" s="14" t="n"/>
      <c r="E9" s="14" t="n"/>
      <c r="F9" s="14" t="n"/>
      <c r="G9" s="14" t="n"/>
      <c r="H9" s="14" t="n"/>
      <c r="I9" s="14" t="n"/>
      <c r="J9" s="14" t="n"/>
      <c r="K9" s="14" t="n"/>
    </row>
    <row r="11" ht="15" customHeight="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15" customFormat="1" customHeight="1" s="16">
      <c r="A12" s="15" t="inlineStr">
        <is>
          <t>Year</t>
        </is>
      </c>
      <c r="B12" s="15">
        <f>#REF!+1</f>
        <v/>
      </c>
      <c r="C12" s="15">
        <f>B12+1</f>
        <v/>
      </c>
      <c r="D12" s="15">
        <f>C12+1</f>
        <v/>
      </c>
      <c r="E12" s="15">
        <f>D12+1</f>
        <v/>
      </c>
      <c r="F12" s="15">
        <f>E12+1</f>
        <v/>
      </c>
      <c r="G12" s="15">
        <f>F12+1</f>
        <v/>
      </c>
      <c r="H12" s="15">
        <f>G12+1</f>
        <v/>
      </c>
      <c r="I12" s="15">
        <f>H12+1</f>
        <v/>
      </c>
      <c r="J12" s="15">
        <f>I12+1</f>
        <v/>
      </c>
      <c r="K12" s="15">
        <f>J12+1</f>
        <v/>
      </c>
    </row>
    <row r="13" ht="15" customFormat="1" customHeight="1" s="43">
      <c r="A13" s="41" t="inlineStr">
        <is>
          <t>Cash Flow (Projected)</t>
        </is>
      </c>
      <c r="B13" s="42">
        <f>C7*(1+C8)</f>
        <v/>
      </c>
      <c r="C13" s="42">
        <f>B13*(1+$C$8)</f>
        <v/>
      </c>
      <c r="D13" s="42">
        <f>C13*(1+$C$8)</f>
        <v/>
      </c>
      <c r="E13" s="42">
        <f>D13*(1+$C$8)</f>
        <v/>
      </c>
      <c r="F13" s="42">
        <f>E13*(1+$C$8)</f>
        <v/>
      </c>
      <c r="G13" s="42">
        <f>F13*(1+$C$8)</f>
        <v/>
      </c>
      <c r="H13" s="42">
        <f>G13*(1+$C$8)</f>
        <v/>
      </c>
      <c r="I13" s="42">
        <f>H13*(1+$C$8)</f>
        <v/>
      </c>
      <c r="J13" s="42">
        <f>I13*(1+$C$8)</f>
        <v/>
      </c>
      <c r="K13" s="42">
        <f>J13*(1+$C$8)</f>
        <v/>
      </c>
    </row>
    <row r="14" ht="15" customFormat="1" customHeight="1" s="43">
      <c r="A14" s="44" t="inlineStr">
        <is>
          <t>Discount Factor</t>
        </is>
      </c>
      <c r="B14" s="45">
        <f>1/(1+$C$9)</f>
        <v/>
      </c>
      <c r="C14" s="45">
        <f>B14/(1+$C$9)</f>
        <v/>
      </c>
      <c r="D14" s="45">
        <f>C14/(1+$C$9)</f>
        <v/>
      </c>
      <c r="E14" s="45">
        <f>D14/(1+$C$9)</f>
        <v/>
      </c>
      <c r="F14" s="45">
        <f>E14/(1+$C$9)</f>
        <v/>
      </c>
      <c r="G14" s="45">
        <f>F14/(1+$C$9)</f>
        <v/>
      </c>
      <c r="H14" s="45">
        <f>G14/(1+$C$9)</f>
        <v/>
      </c>
      <c r="I14" s="45">
        <f>H14/(1+$C$9)</f>
        <v/>
      </c>
      <c r="J14" s="45">
        <f>I14/(1+$C$9)</f>
        <v/>
      </c>
      <c r="K14" s="45">
        <f>J14/(1+$C$9)</f>
        <v/>
      </c>
    </row>
    <row r="15" ht="15" customFormat="1" customHeight="1" s="43">
      <c r="A15" s="46" t="inlineStr">
        <is>
          <t>Discounted Value</t>
        </is>
      </c>
      <c r="B15" s="47">
        <f>B13*B14</f>
        <v/>
      </c>
      <c r="C15" s="47">
        <f>C13*C14</f>
        <v/>
      </c>
      <c r="D15" s="47">
        <f>D13*D14</f>
        <v/>
      </c>
      <c r="E15" s="47">
        <f>E13*E14</f>
        <v/>
      </c>
      <c r="F15" s="47">
        <f>F13*F14</f>
        <v/>
      </c>
      <c r="G15" s="47">
        <f>G13*G14</f>
        <v/>
      </c>
      <c r="H15" s="47">
        <f>H13*H14</f>
        <v/>
      </c>
      <c r="I15" s="47">
        <f>I13*I14</f>
        <v/>
      </c>
      <c r="J15" s="47">
        <f>J13*J14</f>
        <v/>
      </c>
      <c r="K15" s="47">
        <f>K13*K14</f>
        <v/>
      </c>
    </row>
    <row r="16" ht="15" customHeight="1">
      <c r="A16" s="1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15" customHeight="1">
      <c r="A17" s="317" t="inlineStr">
        <is>
          <t>No. Shares Outstanding</t>
        </is>
      </c>
      <c r="B17" s="291" t="n"/>
      <c r="C17" s="7">
        <f>#REF!</f>
        <v/>
      </c>
      <c r="D17" s="18" t="inlineStr">
        <is>
          <t>million</t>
        </is>
      </c>
    </row>
    <row r="18" ht="15.75" customHeight="1" thickBot="1">
      <c r="A18" s="37" t="n"/>
      <c r="B18" s="38" t="n"/>
      <c r="C18" s="35" t="n"/>
      <c r="D18" s="36" t="n"/>
    </row>
    <row r="19" ht="20.25" customHeight="1" thickBot="1">
      <c r="A19" s="274" t="inlineStr">
        <is>
          <t>PV of 10 yr Cash flows</t>
        </is>
      </c>
      <c r="B19" s="318" t="n"/>
      <c r="C19" s="40">
        <f>B15+C15+D15+E15+F15+G15+H15+I15+J15+K15</f>
        <v/>
      </c>
      <c r="D19" s="39" t="inlineStr">
        <is>
          <t>million</t>
        </is>
      </c>
      <c r="E19" s="13" t="n"/>
      <c r="F19" s="13" t="n"/>
      <c r="G19" s="13" t="n"/>
      <c r="H19" s="13" t="n"/>
      <c r="I19" s="13" t="n"/>
      <c r="J19" s="13" t="n"/>
      <c r="K19" s="13" t="n"/>
    </row>
    <row r="20" ht="20.25" customHeight="1" thickBot="1">
      <c r="A20" s="276" t="inlineStr">
        <is>
          <t>Intrinsic Value per share</t>
        </is>
      </c>
      <c r="B20" s="319" t="n"/>
      <c r="C20" s="320">
        <f>C19/C17</f>
        <v/>
      </c>
      <c r="D20" s="321" t="n"/>
    </row>
    <row r="22" ht="15" customHeight="1">
      <c r="A22" s="322" t="inlineStr">
        <is>
          <t>Note: This assumes Cash growth rate remains constant throughout the 10 years</t>
        </is>
      </c>
      <c r="B22" s="323" t="n"/>
      <c r="C22" s="323" t="n"/>
      <c r="D22" s="323" t="n"/>
      <c r="E22" s="323" t="n"/>
      <c r="F22" s="323" t="n"/>
      <c r="G22" s="323" t="n"/>
      <c r="H22" s="323" t="n"/>
      <c r="I22" s="323" t="n"/>
      <c r="J22" s="316" t="n"/>
    </row>
    <row r="23" ht="15" customHeight="1">
      <c r="A23" s="324" t="inlineStr">
        <is>
          <t>In certain cases, you may want to lower or increase the growth rate after a few years.</t>
        </is>
      </c>
      <c r="B23" s="325" t="n"/>
      <c r="C23" s="325" t="n"/>
      <c r="D23" s="325" t="n"/>
      <c r="E23" s="325" t="n"/>
      <c r="F23" s="325" t="n"/>
      <c r="G23" s="325" t="n"/>
      <c r="H23" s="325" t="n"/>
      <c r="I23" s="325" t="n"/>
      <c r="J23" s="326" t="n"/>
    </row>
  </sheetData>
  <mergeCells count="10">
    <mergeCell ref="C20:D20"/>
    <mergeCell ref="A20:B20"/>
    <mergeCell ref="A23:J23"/>
    <mergeCell ref="A4:K4"/>
    <mergeCell ref="A7:B7"/>
    <mergeCell ref="A22:J22"/>
    <mergeCell ref="A19:B19"/>
    <mergeCell ref="A17:B17"/>
    <mergeCell ref="A9:B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33"/>
  <sheetViews>
    <sheetView workbookViewId="0">
      <selection activeCell="A1" sqref="A1"/>
    </sheetView>
  </sheetViews>
  <sheetFormatPr baseColWidth="8" defaultColWidth="8.375" defaultRowHeight="15.75" outlineLevelRow="1"/>
  <cols>
    <col width="3" customWidth="1" style="49" min="1" max="1"/>
    <col width="64.625" bestFit="1" customWidth="1" style="49" min="2" max="2"/>
    <col width="8.375" customWidth="1" style="49" min="3" max="16384"/>
  </cols>
  <sheetData>
    <row r="2" ht="31.5" customHeight="1">
      <c r="B2" s="50" t="inlineStr">
        <is>
          <t>NOTE: You can expand the DATA VALIDATION for each category by adding a new row to the category!</t>
        </is>
      </c>
    </row>
    <row r="4" ht="22.5" customHeight="1">
      <c r="B4" s="156" t="inlineStr">
        <is>
          <t>Sector</t>
        </is>
      </c>
    </row>
    <row r="5" outlineLevel="1" ht="18.75" customHeight="1">
      <c r="B5" s="157" t="inlineStr">
        <is>
          <t>ALL</t>
        </is>
      </c>
    </row>
    <row r="6" outlineLevel="1" ht="18.75" customHeight="1">
      <c r="B6" s="157" t="inlineStr">
        <is>
          <t>Communication Services</t>
        </is>
      </c>
    </row>
    <row r="7" outlineLevel="1" ht="18.75" customHeight="1">
      <c r="B7" s="157" t="inlineStr">
        <is>
          <t>Consumer Discretionary</t>
        </is>
      </c>
    </row>
    <row r="8" outlineLevel="1" ht="18.75" customHeight="1">
      <c r="B8" s="157" t="inlineStr">
        <is>
          <t>Consumer Staples</t>
        </is>
      </c>
    </row>
    <row r="9" outlineLevel="1" ht="18.75" customHeight="1">
      <c r="B9" s="157" t="inlineStr">
        <is>
          <t>Energy</t>
        </is>
      </c>
    </row>
    <row r="10" outlineLevel="1" ht="18.75" customHeight="1">
      <c r="B10" s="157" t="inlineStr">
        <is>
          <t>Financials</t>
        </is>
      </c>
    </row>
    <row r="11" outlineLevel="1" ht="18.75" customHeight="1">
      <c r="B11" s="157" t="inlineStr">
        <is>
          <t>Health Care</t>
        </is>
      </c>
    </row>
    <row r="12" outlineLevel="1" ht="18.75" customHeight="1">
      <c r="B12" s="157" t="inlineStr">
        <is>
          <t>Industrials</t>
        </is>
      </c>
    </row>
    <row r="13" outlineLevel="1" ht="18.75" customHeight="1">
      <c r="B13" s="157" t="inlineStr">
        <is>
          <t>Materials</t>
        </is>
      </c>
    </row>
    <row r="14" outlineLevel="1" ht="18.75" customHeight="1">
      <c r="B14" s="157" t="inlineStr">
        <is>
          <t>Real Estate</t>
        </is>
      </c>
    </row>
    <row r="15" outlineLevel="1" ht="18.75" customHeight="1">
      <c r="B15" s="157" t="inlineStr">
        <is>
          <t>Technology</t>
        </is>
      </c>
    </row>
    <row r="16" outlineLevel="1" ht="18.75" customHeight="1">
      <c r="B16" s="157" t="inlineStr">
        <is>
          <t>Utilities</t>
        </is>
      </c>
    </row>
    <row r="17" outlineLevel="1" ht="18.75" customHeight="1">
      <c r="B17" s="158" t="n"/>
    </row>
    <row r="18" ht="22.5" customHeight="1">
      <c r="B18" s="156" t="inlineStr">
        <is>
          <t>Country</t>
        </is>
      </c>
    </row>
    <row r="19" outlineLevel="1" ht="18.75" customHeight="1">
      <c r="B19" s="157" t="inlineStr">
        <is>
          <t>US</t>
        </is>
      </c>
    </row>
    <row r="20" outlineLevel="1" ht="18.75" customHeight="1">
      <c r="B20" s="157" t="inlineStr">
        <is>
          <t>China</t>
        </is>
      </c>
    </row>
    <row r="21" outlineLevel="1" ht="18.75" customHeight="1">
      <c r="B21" s="157" t="inlineStr">
        <is>
          <t>Hong Kong</t>
        </is>
      </c>
    </row>
    <row r="22" outlineLevel="1" ht="18.75" customHeight="1">
      <c r="B22" s="157" t="inlineStr">
        <is>
          <t>Singapore</t>
        </is>
      </c>
    </row>
    <row r="23" outlineLevel="1" ht="18.75" customHeight="1">
      <c r="B23" s="159" t="n"/>
    </row>
    <row r="24" ht="22.5" customHeight="1">
      <c r="B24" s="156" t="inlineStr">
        <is>
          <t>Category</t>
        </is>
      </c>
    </row>
    <row r="25" outlineLevel="1" ht="19.5" customHeight="1">
      <c r="B25" s="157" t="inlineStr">
        <is>
          <t>Cyclical</t>
        </is>
      </c>
    </row>
    <row r="26" outlineLevel="1" ht="19.5" customHeight="1">
      <c r="B26" s="157" t="inlineStr">
        <is>
          <t>Deep Value</t>
        </is>
      </c>
    </row>
    <row r="27" outlineLevel="1" ht="19.5" customHeight="1">
      <c r="B27" s="157" t="inlineStr">
        <is>
          <t>Dividend</t>
        </is>
      </c>
    </row>
    <row r="28" outlineLevel="1" ht="19.5" customHeight="1">
      <c r="B28" s="157" t="inlineStr">
        <is>
          <t>ETF</t>
        </is>
      </c>
    </row>
    <row r="29" outlineLevel="1" ht="19.5" customHeight="1">
      <c r="B29" s="157" t="inlineStr">
        <is>
          <t>Large Growth</t>
        </is>
      </c>
    </row>
    <row r="30" outlineLevel="1" ht="19.5" customHeight="1">
      <c r="B30" s="157" t="inlineStr">
        <is>
          <t>Predictable</t>
        </is>
      </c>
    </row>
    <row r="31" outlineLevel="1" ht="19.5" customHeight="1">
      <c r="B31" s="157" t="inlineStr">
        <is>
          <t>Speculative Growth</t>
        </is>
      </c>
    </row>
    <row r="32" outlineLevel="1" ht="19.5" customHeight="1">
      <c r="B32" s="157" t="inlineStr">
        <is>
          <t>Turnarounds</t>
        </is>
      </c>
    </row>
    <row r="33" outlineLevel="1" ht="19.5" customHeight="1">
      <c r="B33" s="158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</dc:creator>
  <dcterms:created xsi:type="dcterms:W3CDTF">2007-04-04T13:06:54Z</dcterms:created>
  <dcterms:modified xsi:type="dcterms:W3CDTF">2026-07-13T14:15:38Z</dcterms:modified>
  <cp:lastModifiedBy>Uq 529</cp:lastModifiedBy>
</cp:coreProperties>
</file>